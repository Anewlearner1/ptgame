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事件" sheetId="2" state="visible" r:id="rId4"/>
    <sheet name="天氣" sheetId="3" state="visible" r:id="rId5"/>
    <sheet name="醫病溝通兩難" sheetId="4" state="visible" r:id="rId6"/>
    <sheet name="社區活動" sheetId="5" state="visible" r:id="rId7"/>
    <sheet name="衛教看板" sheetId="6" state="visible" r:id="rId8"/>
    <sheet name="成就" sheetId="7" state="visible" r:id="rId9"/>
  </sheets>
  <definedNames>
    <definedName function="false" hidden="true" localSheetId="1" name="_xlnm._FilterDatabase" vbProcedure="false">事件!$A$1:$M$74</definedName>
    <definedName function="false" hidden="true" localSheetId="2" name="_xlnm._FilterDatabase" vbProcedure="false">天氣!$A$1:$H$8</definedName>
    <definedName function="false" hidden="true" localSheetId="6" name="_xlnm._FilterDatabase" vbProcedure="false">成就!$A$1:$P$42</definedName>
    <definedName function="false" hidden="true" localSheetId="4" name="_xlnm._FilterDatabase" vbProcedure="false">社區活動!$A$1:$H$8</definedName>
    <definedName function="false" hidden="true" localSheetId="5" name="_xlnm._FilterDatabase" vbProcedure="false">衛教看板!$A$1:$F$8</definedName>
    <definedName function="false" hidden="true" localSheetId="3" name="_xlnm._FilterDatabase" vbProcedure="false">醫病溝通兩難!$A$1:$H$13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<sst xmlns="http://schemas.openxmlformats.org/spreadsheetml/2006/main" count="1582" uniqueCount="958">
  <si>
    <t xml:space="preserve">事件與成就目錄（繁體中文）</t>
  </si>
  <si>
    <r>
      <rPr>
        <sz val="10"/>
        <rFont val="Arial"/>
        <family val="2"/>
      </rPr>
      <t xml:space="preserve">與 </t>
    </r>
    <r>
      <rPr>
        <sz val="10"/>
        <rFont val="Arial"/>
        <family val="0"/>
        <charset val="1"/>
      </rPr>
      <t xml:space="preserve">docs/events_and_achievements.md </t>
    </r>
    <r>
      <rPr>
        <sz val="10"/>
        <rFont val="Arial"/>
        <family val="2"/>
      </rPr>
      <t xml:space="preserve">內容相同；本表為可篩選的資料版本。數字以資料檔為準。</t>
    </r>
  </si>
  <si>
    <t xml:space="preserve">來源檔</t>
  </si>
  <si>
    <t xml:space="preserve">js/data/events.js</t>
  </si>
  <si>
    <r>
      <rPr>
        <sz val="10"/>
        <rFont val="Arial"/>
        <family val="2"/>
      </rPr>
      <t xml:space="preserve">天氣 </t>
    </r>
    <r>
      <rPr>
        <sz val="10"/>
        <rFont val="Arial"/>
        <family val="0"/>
        <charset val="1"/>
      </rPr>
      <t xml:space="preserve">WEATHER</t>
    </r>
    <r>
      <rPr>
        <sz val="10"/>
        <rFont val="Arial"/>
        <family val="2"/>
      </rPr>
      <t xml:space="preserve">、原始隨機事件 </t>
    </r>
    <r>
      <rPr>
        <sz val="10"/>
        <rFont val="Arial"/>
        <family val="0"/>
        <charset val="1"/>
      </rPr>
      <t xml:space="preserve">RANDOM_EVENTS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15</t>
    </r>
    <r>
      <rPr>
        <sz val="10"/>
        <rFont val="Arial"/>
        <family val="2"/>
      </rPr>
      <t xml:space="preserve">）、醫病溝通兩難 </t>
    </r>
    <r>
      <rPr>
        <sz val="10"/>
        <rFont val="Arial"/>
        <family val="0"/>
        <charset val="1"/>
      </rPr>
      <t xml:space="preserve">DILEMMAS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）、社區活動 </t>
    </r>
    <r>
      <rPr>
        <sz val="10"/>
        <rFont val="Arial"/>
        <family val="0"/>
        <charset val="1"/>
      </rPr>
      <t xml:space="preserve">COMMUNITY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7</t>
    </r>
    <r>
      <rPr>
        <sz val="10"/>
        <rFont val="Arial"/>
        <family val="2"/>
      </rPr>
      <t xml:space="preserve">）、衛教看板 </t>
    </r>
    <r>
      <rPr>
        <sz val="10"/>
        <rFont val="Arial"/>
        <family val="0"/>
        <charset val="1"/>
      </rPr>
      <t xml:space="preserve">BOARDS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7</t>
    </r>
    <r>
      <rPr>
        <sz val="10"/>
        <rFont val="Arial"/>
        <family val="2"/>
      </rPr>
      <t xml:space="preserve">）</t>
    </r>
  </si>
  <si>
    <t xml:space="preserve">js/data/events_ext.js</t>
  </si>
  <si>
    <r>
      <rPr>
        <sz val="10"/>
        <rFont val="Arial"/>
        <family val="2"/>
      </rPr>
      <t xml:space="preserve">擴充事件 </t>
    </r>
    <r>
      <rPr>
        <sz val="10"/>
        <rFont val="Arial"/>
        <family val="0"/>
        <charset val="1"/>
      </rPr>
      <t xml:space="preserve">EVENTS_EXT_A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30</t>
    </r>
    <r>
      <rPr>
        <sz val="10"/>
        <rFont val="Arial"/>
        <family val="2"/>
      </rPr>
      <t xml:space="preserve">：健保營運 </t>
    </r>
    <r>
      <rPr>
        <sz val="10"/>
        <rFont val="Arial"/>
        <family val="0"/>
        <charset val="1"/>
      </rPr>
      <t xml:space="preserve">14</t>
    </r>
    <r>
      <rPr>
        <sz val="10"/>
        <rFont val="Arial"/>
        <family val="2"/>
      </rPr>
      <t xml:space="preserve">、病患與溝通 </t>
    </r>
    <r>
      <rPr>
        <sz val="10"/>
        <rFont val="Arial"/>
        <family val="0"/>
        <charset val="1"/>
      </rPr>
      <t xml:space="preserve">16</t>
    </r>
    <r>
      <rPr>
        <sz val="10"/>
        <rFont val="Arial"/>
        <family val="2"/>
      </rPr>
      <t xml:space="preserve">）</t>
    </r>
  </si>
  <si>
    <t xml:space="preserve">js/data/events_ext2.js</t>
  </si>
  <si>
    <r>
      <rPr>
        <sz val="10"/>
        <rFont val="Arial"/>
        <family val="2"/>
      </rPr>
      <t xml:space="preserve">擴充事件 </t>
    </r>
    <r>
      <rPr>
        <sz val="10"/>
        <rFont val="Arial"/>
        <family val="0"/>
        <charset val="1"/>
      </rPr>
      <t xml:space="preserve">EVENTS_EXT_B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28</t>
    </r>
    <r>
      <rPr>
        <sz val="10"/>
        <rFont val="Arial"/>
        <family val="2"/>
      </rPr>
      <t xml:space="preserve">：診所營運 </t>
    </r>
    <r>
      <rPr>
        <sz val="10"/>
        <rFont val="Arial"/>
        <family val="0"/>
        <charset val="1"/>
      </rPr>
      <t xml:space="preserve">16</t>
    </r>
    <r>
      <rPr>
        <sz val="10"/>
        <rFont val="Arial"/>
        <family val="2"/>
      </rPr>
      <t xml:space="preserve">、季節與在地 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）</t>
    </r>
  </si>
  <si>
    <t xml:space="preserve">js/data/achievements.js</t>
  </si>
  <si>
    <r>
      <rPr>
        <sz val="10"/>
        <rFont val="Arial"/>
        <family val="2"/>
      </rPr>
      <t xml:space="preserve">成就 </t>
    </r>
    <r>
      <rPr>
        <sz val="10"/>
        <rFont val="Arial"/>
        <family val="0"/>
        <charset val="1"/>
      </rPr>
      <t xml:space="preserve">ACHIEVEMENTS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41</t>
    </r>
    <r>
      <rPr>
        <sz val="10"/>
        <rFont val="Arial"/>
        <family val="2"/>
      </rPr>
      <t xml:space="preserve">）、階層獎勵 </t>
    </r>
    <r>
      <rPr>
        <sz val="10"/>
        <rFont val="Arial"/>
        <family val="0"/>
        <charset val="1"/>
      </rPr>
      <t xml:space="preserve">ACHIEVEMENT_TIERS</t>
    </r>
  </si>
  <si>
    <t xml:space="preserve">docs/EVENTS_EXT.md §1–2</t>
  </si>
  <si>
    <t xml:space="preserve">效果欄位與條件欄位的定義</t>
  </si>
  <si>
    <r>
      <rPr>
        <sz val="10"/>
        <rFont val="Arial"/>
        <family val="0"/>
        <charset val="1"/>
      </rPr>
      <t xml:space="preserve">js/sim/events.js </t>
    </r>
    <r>
      <rPr>
        <sz val="10"/>
        <rFont val="Arial"/>
        <family val="2"/>
      </rPr>
      <t xml:space="preserve">等</t>
    </r>
  </si>
  <si>
    <t xml:space="preserve">引擎常數（每週機率、間隔、權重、冷卻）與連鎖、擲骰規則</t>
  </si>
  <si>
    <t xml:space="preserve">數量核對（公式依各分頁即時計算）</t>
  </si>
  <si>
    <t xml:space="preserve">項目</t>
  </si>
  <si>
    <t xml:space="preserve">數量（公式）</t>
  </si>
  <si>
    <t xml:space="preserve">應為（資料檔）</t>
  </si>
  <si>
    <t xml:space="preserve">核對</t>
  </si>
  <si>
    <t xml:space="preserve">隨機事件（全部）</t>
  </si>
  <si>
    <r>
      <rPr>
        <sz val="10"/>
        <rFont val="Arial"/>
        <family val="2"/>
      </rPr>
      <t xml:space="preserve">　原始（</t>
    </r>
    <r>
      <rPr>
        <sz val="10"/>
        <rFont val="Arial"/>
        <family val="0"/>
        <charset val="1"/>
      </rPr>
      <t xml:space="preserve">events.js</t>
    </r>
    <r>
      <rPr>
        <sz val="10"/>
        <rFont val="Arial"/>
        <family val="2"/>
      </rPr>
      <t xml:space="preserve">）</t>
    </r>
  </si>
  <si>
    <r>
      <rPr>
        <sz val="10"/>
        <rFont val="Arial"/>
        <family val="2"/>
      </rPr>
      <t xml:space="preserve">　擴充（</t>
    </r>
    <r>
      <rPr>
        <sz val="10"/>
        <rFont val="Arial"/>
        <family val="0"/>
        <charset val="1"/>
      </rPr>
      <t xml:space="preserve">events_ext.js</t>
    </r>
    <r>
      <rPr>
        <sz val="10"/>
        <rFont val="Arial"/>
        <family val="2"/>
      </rPr>
      <t xml:space="preserve">）</t>
    </r>
  </si>
  <si>
    <r>
      <rPr>
        <sz val="10"/>
        <rFont val="Arial"/>
        <family val="2"/>
      </rPr>
      <t xml:space="preserve">　擴充（</t>
    </r>
    <r>
      <rPr>
        <sz val="10"/>
        <rFont val="Arial"/>
        <family val="0"/>
        <charset val="1"/>
      </rPr>
      <t xml:space="preserve">events_ext2.js</t>
    </r>
    <r>
      <rPr>
        <sz val="10"/>
        <rFont val="Arial"/>
        <family val="2"/>
      </rPr>
      <t xml:space="preserve">）</t>
    </r>
  </si>
  <si>
    <t xml:space="preserve">　分類：一般</t>
  </si>
  <si>
    <t xml:space="preserve">　分類：健保營運</t>
  </si>
  <si>
    <t xml:space="preserve">　分類：病患與溝通</t>
  </si>
  <si>
    <t xml:space="preserve">　分類：診所營運</t>
  </si>
  <si>
    <t xml:space="preserve">　分類：季節與在地</t>
  </si>
  <si>
    <t xml:space="preserve">大事件（隨機事件中）</t>
  </si>
  <si>
    <t xml:space="preserve">醫病溝通兩難</t>
  </si>
  <si>
    <t xml:space="preserve">天氣</t>
  </si>
  <si>
    <t xml:space="preserve">社區活動</t>
  </si>
  <si>
    <t xml:space="preserve">衛教看板</t>
  </si>
  <si>
    <t xml:space="preserve">成就</t>
  </si>
  <si>
    <t xml:space="preserve">　隱藏成就</t>
  </si>
  <si>
    <r>
      <rPr>
        <sz val="10"/>
        <rFont val="Arial"/>
        <family val="2"/>
      </rPr>
      <t xml:space="preserve">成就：獎勵資金合計（</t>
    </r>
    <r>
      <rPr>
        <sz val="10"/>
        <rFont val="Arial"/>
        <family val="0"/>
        <charset val="1"/>
      </rPr>
      <t xml:space="preserve">NT$</t>
    </r>
    <r>
      <rPr>
        <sz val="10"/>
        <rFont val="Arial"/>
        <family val="2"/>
      </rPr>
      <t xml:space="preserve">，全部領取時）</t>
    </r>
  </si>
  <si>
    <t xml:space="preserve">—</t>
  </si>
  <si>
    <t xml:space="preserve">成就獎勵合計（僅供參考）</t>
  </si>
  <si>
    <t xml:space="preserve">欄位說明</t>
  </si>
  <si>
    <r>
      <rPr>
        <sz val="10"/>
        <rFont val="Arial"/>
        <family val="2"/>
      </rPr>
      <t xml:space="preserve">「選項」欄：【選項文字】、效果（以「、」分隔，資金單位 </t>
    </r>
    <r>
      <rPr>
        <sz val="10"/>
        <rFont val="Arial"/>
        <family val="0"/>
        <charset val="1"/>
      </rPr>
      <t xml:space="preserve">NT$</t>
    </r>
    <r>
      <rPr>
        <sz val="10"/>
        <rFont val="Arial"/>
        <family val="2"/>
      </rPr>
      <t xml:space="preserve">）、結果。擲骰選項會列出成功與失敗兩側。</t>
    </r>
  </si>
  <si>
    <r>
      <rPr>
        <sz val="10"/>
        <rFont val="Arial"/>
        <family val="2"/>
      </rPr>
      <t xml:space="preserve">效果用語：資金 </t>
    </r>
    <r>
      <rPr>
        <sz val="10"/>
        <rFont val="Arial"/>
        <family val="0"/>
        <charset val="1"/>
      </rPr>
      <t xml:space="preserve">±NT$</t>
    </r>
    <r>
      <rPr>
        <sz val="10"/>
        <rFont val="Arial"/>
        <family val="2"/>
      </rPr>
      <t xml:space="preserve">；聲譽 </t>
    </r>
    <r>
      <rPr>
        <sz val="10"/>
        <rFont val="Arial"/>
        <family val="0"/>
        <charset val="1"/>
      </rPr>
      <t xml:space="preserve">±</t>
    </r>
    <r>
      <rPr>
        <sz val="10"/>
        <rFont val="Arial"/>
        <family val="2"/>
      </rPr>
      <t xml:space="preserve">；病患滿意度 </t>
    </r>
    <r>
      <rPr>
        <sz val="10"/>
        <rFont val="Arial"/>
        <family val="0"/>
        <charset val="1"/>
      </rPr>
      <t xml:space="preserve">±</t>
    </r>
    <r>
      <rPr>
        <sz val="10"/>
        <rFont val="Arial"/>
        <family val="2"/>
      </rPr>
      <t xml:space="preserve">（隨機事件為全診所，醫病溝通兩難為當事病患）；健保點數 −；點數（醫術／儀器／服務）</t>
    </r>
    <r>
      <rPr>
        <sz val="10"/>
        <rFont val="Arial"/>
        <family val="0"/>
        <charset val="1"/>
      </rPr>
      <t xml:space="preserve">±</t>
    </r>
    <r>
      <rPr>
        <sz val="10"/>
        <rFont val="Arial"/>
        <family val="2"/>
      </rPr>
      <t xml:space="preserve">；審查風險 </t>
    </r>
    <r>
      <rPr>
        <sz val="10"/>
        <rFont val="Arial"/>
        <family val="0"/>
        <charset val="1"/>
      </rPr>
      <t xml:space="preserve">±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0–100</t>
    </r>
    <r>
      <rPr>
        <sz val="10"/>
        <rFont val="Arial"/>
        <family val="2"/>
      </rPr>
      <t xml:space="preserve">，越低越好）；網路評價 </t>
    </r>
    <r>
      <rPr>
        <sz val="10"/>
        <rFont val="Arial"/>
        <family val="0"/>
        <charset val="1"/>
      </rPr>
      <t xml:space="preserve">±</t>
    </r>
    <r>
      <rPr>
        <sz val="10"/>
        <rFont val="Arial"/>
        <family val="2"/>
      </rPr>
      <t xml:space="preserve">（</t>
    </r>
    <r>
      <rPr>
        <sz val="10"/>
        <rFont val="Arial"/>
        <family val="0"/>
        <charset val="1"/>
      </rPr>
      <t xml:space="preserve">1.0–5.0</t>
    </r>
    <r>
      <rPr>
        <sz val="10"/>
        <rFont val="Arial"/>
        <family val="2"/>
      </rPr>
      <t xml:space="preserve">）。</t>
    </r>
  </si>
  <si>
    <r>
      <rPr>
        <sz val="10"/>
        <rFont val="Arial"/>
        <family val="2"/>
      </rPr>
      <t xml:space="preserve">「抽選權重」與「冷卻（週）」：權重未標示者為引擎預設（一般 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、季節 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、大事件 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）；冷卻未標示者為預設（原始 </t>
    </r>
    <r>
      <rPr>
        <sz val="10"/>
        <rFont val="Arial"/>
        <family val="0"/>
        <charset val="1"/>
      </rPr>
      <t xml:space="preserve">20</t>
    </r>
    <r>
      <rPr>
        <sz val="10"/>
        <rFont val="Arial"/>
        <family val="2"/>
      </rPr>
      <t xml:space="preserve">、擴充 </t>
    </r>
    <r>
      <rPr>
        <sz val="10"/>
        <rFont val="Arial"/>
        <family val="0"/>
        <charset val="1"/>
      </rPr>
      <t xml:space="preserve">24</t>
    </r>
    <r>
      <rPr>
        <sz val="10"/>
        <rFont val="Arial"/>
        <family val="2"/>
      </rPr>
      <t xml:space="preserve">）。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月 </t>
    </r>
    <r>
      <rPr>
        <sz val="10"/>
        <rFont val="Arial"/>
        <family val="0"/>
        <charset val="1"/>
      </rPr>
      <t xml:space="preserve">= 4 </t>
    </r>
    <r>
      <rPr>
        <sz val="10"/>
        <rFont val="Arial"/>
        <family val="2"/>
      </rPr>
      <t xml:space="preserve">週。</t>
    </r>
  </si>
  <si>
    <t xml:space="preserve">「連鎖與旗標」欄：列出該事件的選項會設定的旗標或連鎖事件，以及哪些事件會把它當作前置。</t>
  </si>
  <si>
    <r>
      <rPr>
        <sz val="10"/>
        <rFont val="Arial"/>
        <family val="2"/>
      </rPr>
      <t xml:space="preserve">成就「獎勵」依階層預設：銅 資金 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、點數 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；銀 資金 </t>
    </r>
    <r>
      <rPr>
        <sz val="10"/>
        <rFont val="Arial"/>
        <family val="0"/>
        <charset val="1"/>
      </rPr>
      <t xml:space="preserve">NT$ 35,000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、點數 </t>
    </r>
    <r>
      <rPr>
        <sz val="10"/>
        <rFont val="Arial"/>
        <family val="0"/>
        <charset val="1"/>
      </rPr>
      <t xml:space="preserve">15</t>
    </r>
    <r>
      <rPr>
        <sz val="10"/>
        <rFont val="Arial"/>
        <family val="2"/>
      </rPr>
      <t xml:space="preserve">；金 資金 </t>
    </r>
    <r>
      <rPr>
        <sz val="10"/>
        <rFont val="Arial"/>
        <family val="0"/>
        <charset val="1"/>
      </rPr>
      <t xml:space="preserve">NT$ 150,000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+10</t>
    </r>
    <r>
      <rPr>
        <sz val="10"/>
        <rFont val="Arial"/>
        <family val="2"/>
      </rPr>
      <t xml:space="preserve">、點數 </t>
    </r>
    <r>
      <rPr>
        <sz val="10"/>
        <rFont val="Arial"/>
        <family val="0"/>
        <charset val="1"/>
      </rPr>
      <t xml:space="preserve">30</t>
    </r>
    <r>
      <rPr>
        <sz val="10"/>
        <rFont val="Arial"/>
        <family val="2"/>
      </rPr>
      <t xml:space="preserve">。點數種類預設服務，少數成就指定醫術或儀器；金階一律服務。</t>
    </r>
  </si>
  <si>
    <t xml:space="preserve">隱藏成就在未解鎖時顯示「？？？」與提示，此表列出真實條件以便查閱。</t>
  </si>
  <si>
    <t xml:space="preserve">分類</t>
  </si>
  <si>
    <t xml:space="preserve">來源</t>
  </si>
  <si>
    <t xml:space="preserve">id</t>
  </si>
  <si>
    <t xml:space="preserve">標題</t>
  </si>
  <si>
    <t xml:space="preserve">觸發條件</t>
  </si>
  <si>
    <t xml:space="preserve">大事件</t>
  </si>
  <si>
    <t xml:space="preserve">抽選權重</t>
  </si>
  <si>
    <t xml:space="preserve">冷卻（週）</t>
  </si>
  <si>
    <t xml:space="preserve">情境</t>
  </si>
  <si>
    <r>
      <rPr>
        <b val="true"/>
        <sz val="10"/>
        <color rgb="FFFFFFFF"/>
        <rFont val="Arial"/>
        <family val="2"/>
      </rPr>
      <t xml:space="preserve">選項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</si>
  <si>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Arial"/>
        <family val="2"/>
      </rPr>
      <t xml:space="preserve">選項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</si>
  <si>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Arial"/>
        <family val="2"/>
      </rPr>
      <t xml:space="preserve">選項</t>
    </r>
    <r>
      <rPr>
        <b val="true"/>
        <sz val="10"/>
        <color rgb="FFFFFFFF"/>
        <rFont val="Arial"/>
        <family val="0"/>
        <charset val="1"/>
      </rPr>
      <t xml:space="preserve">3</t>
    </r>
  </si>
  <si>
    <t xml:space="preserve">連鎖與旗標</t>
  </si>
  <si>
    <t xml:space="preserve">一般</t>
  </si>
  <si>
    <r>
      <rPr>
        <sz val="10"/>
        <rFont val="Arial"/>
        <family val="2"/>
      </rPr>
      <t xml:space="preserve">原始（</t>
    </r>
    <r>
      <rPr>
        <sz val="10"/>
        <rFont val="Arial"/>
        <family val="0"/>
        <charset val="1"/>
      </rPr>
      <t xml:space="preserve">events.js</t>
    </r>
    <r>
      <rPr>
        <sz val="10"/>
        <rFont val="Arial"/>
        <family val="2"/>
      </rPr>
      <t xml:space="preserve">）</t>
    </r>
  </si>
  <si>
    <t xml:space="preserve">li_chief</t>
  </si>
  <si>
    <t xml:space="preserve">里長邀約</t>
  </si>
  <si>
    <t xml:space="preserve">無條件（隨時可能出現）</t>
  </si>
  <si>
    <t xml:space="preserve">否</t>
  </si>
  <si>
    <t xml:space="preserve">里長打電話來：「醫生啊，里民活動中心下禮拜要辦健康日，你們來擺個攤？」</t>
  </si>
  <si>
    <r>
      <rPr>
        <sz val="10"/>
        <rFont val="Arial"/>
        <family val="2"/>
      </rPr>
      <t xml:space="preserve">【好啊，免費幫大家篩檢】
效果：資金 −</t>
    </r>
    <r>
      <rPr>
        <sz val="10"/>
        <rFont val="Arial"/>
        <family val="0"/>
        <charset val="1"/>
      </rPr>
      <t xml:space="preserve">NT$ 120,000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+10
</t>
    </r>
    <r>
      <rPr>
        <sz val="10"/>
        <rFont val="Arial"/>
        <family val="2"/>
      </rPr>
      <t xml:space="preserve">結果：里民排成一排量血壓，里長笑到合不攏嘴，說要幫你們寫進里刊。</t>
    </r>
  </si>
  <si>
    <r>
      <rPr>
        <sz val="10"/>
        <rFont val="Arial"/>
        <family val="2"/>
      </rPr>
      <t xml:space="preserve">【婉拒，我們診所忙不過來】
效果：聲譽 −</t>
    </r>
    <r>
      <rPr>
        <sz val="10"/>
        <rFont val="Arial"/>
        <family val="0"/>
        <charset val="1"/>
      </rPr>
      <t xml:space="preserve">2
</t>
    </r>
    <r>
      <rPr>
        <sz val="10"/>
        <rFont val="Arial"/>
        <family val="2"/>
      </rPr>
      <t xml:space="preserve">結果：里長嘆氣說：「好啦，那下次再說喔。」下次就不知道是哪一次了。</t>
    </r>
  </si>
  <si>
    <t xml:space="preserve">健保營運</t>
  </si>
  <si>
    <t xml:space="preserve">nhi_audit</t>
  </si>
  <si>
    <t xml:space="preserve">健保署抽審</t>
  </si>
  <si>
    <r>
      <rPr>
        <sz val="10"/>
        <rFont val="Arial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年起（開業即符合）</t>
    </r>
  </si>
  <si>
    <t xml:space="preserve">是</t>
  </si>
  <si>
    <t xml:space="preserve">健保署來函，要抽調上個月的病歷和申報資料。信封很厚，主任的表情很薄。</t>
  </si>
  <si>
    <r>
      <rPr>
        <sz val="10"/>
        <rFont val="Arial"/>
        <family val="2"/>
      </rPr>
      <t xml:space="preserve">【配合調閱，全力準備】
效果：資金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12
</t>
    </r>
    <r>
      <rPr>
        <sz val="10"/>
        <rFont val="Arial"/>
        <family val="2"/>
      </rPr>
      <t xml:space="preserve">結果：病歷寫得清清楚楚，審查員翻了三小時，最後蓋了個章說「還可以」。</t>
    </r>
  </si>
  <si>
    <r>
      <rPr>
        <sz val="10"/>
        <rFont val="Arial"/>
        <family val="2"/>
      </rPr>
      <t xml:space="preserve">【交給行政處理，自己繼續看診】
效果：資金 −</t>
    </r>
    <r>
      <rPr>
        <sz val="10"/>
        <rFont val="Arial"/>
        <family val="0"/>
        <charset val="1"/>
      </rPr>
      <t xml:space="preserve">NT$ 240,000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、健保審查風險 </t>
    </r>
    <r>
      <rPr>
        <sz val="10"/>
        <rFont val="Arial"/>
        <family val="0"/>
        <charset val="1"/>
      </rPr>
      <t xml:space="preserve">+6
</t>
    </r>
    <r>
      <rPr>
        <sz val="10"/>
        <rFont val="Arial"/>
        <family val="2"/>
      </rPr>
      <t xml:space="preserve">結果：行政阿姨硬著頭皮補件，還是少了兩張簽名，罰單寄到了家裡。</t>
    </r>
  </si>
  <si>
    <t xml:space="preserve">media_interview</t>
  </si>
  <si>
    <t xml:space="preserve">地方電視台採訪</t>
  </si>
  <si>
    <r>
      <rPr>
        <sz val="10"/>
        <rFont val="Arial"/>
        <family val="2"/>
      </rPr>
      <t xml:space="preserve">聲譽 ≥ </t>
    </r>
    <r>
      <rPr>
        <sz val="10"/>
        <rFont val="Arial"/>
        <family val="0"/>
        <charset val="1"/>
      </rPr>
      <t xml:space="preserve">80</t>
    </r>
  </si>
  <si>
    <t xml:space="preserve">地方電視台的記者說想拍「阿伯的膝蓋」專題，問你要不要上鏡頭。</t>
  </si>
  <si>
    <r>
      <rPr>
        <sz val="10"/>
        <rFont val="Arial"/>
        <family val="2"/>
      </rPr>
      <t xml:space="preserve">【上節目分享復健觀念】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+12
</t>
    </r>
    <r>
      <rPr>
        <sz val="10"/>
        <rFont val="Arial"/>
        <family val="2"/>
      </rPr>
      <t xml:space="preserve">結果：你講得很清楚，還順便教觀眾怎麼做毛巾拉伸。播出後掛號電話快被打爆。</t>
    </r>
  </si>
  <si>
    <r>
      <rPr>
        <sz val="10"/>
        <rFont val="Arial"/>
        <family val="2"/>
      </rPr>
      <t xml:space="preserve">【婉拒，專心看病】
效果：聲譽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結果：記者說：「沒關係，我們找隔壁的診所。」你默默看著電視裡的別人。</t>
    </r>
  </si>
  <si>
    <t xml:space="preserve">診所營運</t>
  </si>
  <si>
    <t xml:space="preserve">poach</t>
  </si>
  <si>
    <t xml:space="preserve">員工被挖角</t>
  </si>
  <si>
    <t xml:space="preserve">隔壁大醫院的人資私訊你的員工，說薪水可以多兩成，還附停車位。</t>
  </si>
  <si>
    <r>
      <rPr>
        <sz val="10"/>
        <rFont val="Arial"/>
        <family val="2"/>
      </rPr>
      <t xml:space="preserve">【加薪留人】
效果：資金 −</t>
    </r>
    <r>
      <rPr>
        <sz val="10"/>
        <rFont val="Arial"/>
        <family val="0"/>
        <charset val="1"/>
      </rPr>
      <t xml:space="preserve">NT$ 200,000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結果：員工說「我再想想」，然後留下來了。你的薪資表多了一個零的感覺。</t>
    </r>
  </si>
  <si>
    <r>
      <rPr>
        <sz val="10"/>
        <rFont val="Arial"/>
        <family val="2"/>
      </rPr>
      <t xml:space="preserve">【祝他前程似錦】
效果：聲譽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、服務點數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結果：員工走了，同事們在茶水間哀嚎：「誰來幫我排班啊！」</t>
    </r>
  </si>
  <si>
    <t xml:space="preserve">vendor_promo</t>
  </si>
  <si>
    <t xml:space="preserve">儀器廠商促銷</t>
  </si>
  <si>
    <t xml:space="preserve">儀器業務帶著笑容來：「醫生，這台新機器限時八折，現在下單還送保固！」</t>
  </si>
  <si>
    <r>
      <rPr>
        <sz val="10"/>
        <rFont val="Arial"/>
        <family val="2"/>
      </rPr>
      <t xml:space="preserve">【買！機器看起來很厲害】（需有資金 </t>
    </r>
    <r>
      <rPr>
        <sz val="10"/>
        <rFont val="Arial"/>
        <family val="0"/>
        <charset val="1"/>
      </rPr>
      <t xml:space="preserve">NT$ 480,000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NT$ 480,000</t>
    </r>
    <r>
      <rPr>
        <sz val="10"/>
        <rFont val="Arial"/>
        <family val="2"/>
      </rPr>
      <t xml:space="preserve">、儀器點數 </t>
    </r>
    <r>
      <rPr>
        <sz val="10"/>
        <rFont val="Arial"/>
        <family val="0"/>
        <charset val="1"/>
      </rPr>
      <t xml:space="preserve">+20
</t>
    </r>
    <r>
      <rPr>
        <sz val="10"/>
        <rFont val="Arial"/>
        <family val="2"/>
      </rPr>
      <t xml:space="preserve">結果：機器開箱那天，全診所都來拍照。說明書有三百頁，但螢幕很漂亮。</t>
    </r>
  </si>
  <si>
    <t xml:space="preserve">【不買，先把舊的顧好】
效果：無數值效果（僅影響劇情）
結果：業務留下名片：「醫生想通了隨時找我喔！」名片你放進抽屜，抽屜很滿。</t>
  </si>
  <si>
    <t xml:space="preserve">季節與在地</t>
  </si>
  <si>
    <t xml:space="preserve">flood</t>
  </si>
  <si>
    <t xml:space="preserve">颱風淹水</t>
  </si>
  <si>
    <t xml:space="preserve">颱風時</t>
  </si>
  <si>
    <t xml:space="preserve">颱風過後，馬路變成小河。診所一樓的地板泡在水裡，沙發還在飄。</t>
  </si>
  <si>
    <r>
      <rPr>
        <sz val="10"/>
        <rFont val="Arial"/>
        <family val="2"/>
      </rPr>
      <t xml:space="preserve">【全體動員清理，搶救設備】（需有資金 </t>
    </r>
    <r>
      <rPr>
        <sz val="10"/>
        <rFont val="Arial"/>
        <family val="0"/>
        <charset val="1"/>
      </rPr>
      <t xml:space="preserve">NT$ 360,000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
</t>
    </r>
    <r>
      <rPr>
        <sz val="10"/>
        <rFont val="Arial"/>
        <family val="2"/>
      </rPr>
      <t xml:space="preserve">結果：同仁穿雨鞋、拿拖把，忙到半夜。病人隔天來看到，都說「你們很拚」。</t>
    </r>
  </si>
  <si>
    <r>
      <rPr>
        <sz val="10"/>
        <rFont val="Arial"/>
        <family val="2"/>
      </rPr>
      <t xml:space="preserve">【停診兩週慢慢修】
效果：資金 −</t>
    </r>
    <r>
      <rPr>
        <sz val="10"/>
        <rFont val="Arial"/>
        <family val="0"/>
        <charset val="1"/>
      </rPr>
      <t xml:space="preserve">NT$ 160,000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結果：招牌上貼著「因故暫停營業」，病人的小本本上多了一個叉叉。</t>
    </r>
  </si>
  <si>
    <t xml:space="preserve">pharma_rep</t>
  </si>
  <si>
    <t xml:space="preserve">藥廠業務來訪</t>
  </si>
  <si>
    <t xml:space="preserve">藥廠業務說想請醫生當「學術講者」，一場講座講師費很可觀，但要唸他們的投影片。</t>
  </si>
  <si>
    <r>
      <rPr>
        <sz val="10"/>
        <rFont val="Arial"/>
        <family val="2"/>
      </rPr>
      <t xml:space="preserve">【接受，去講一場】
效果：資金 </t>
    </r>
    <r>
      <rPr>
        <sz val="10"/>
        <rFont val="Arial"/>
        <family val="0"/>
        <charset val="1"/>
      </rPr>
      <t xml:space="preserve">+NT$ 240,000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結果：講座很順，錢也入袋。只是有位病人在下面小聲問：「醫生，你是在幫哪一家講話？」</t>
    </r>
  </si>
  <si>
    <r>
      <rPr>
        <sz val="10"/>
        <rFont val="Arial"/>
        <family val="2"/>
      </rPr>
      <t xml:space="preserve">【婉拒，我們不跟藥廠合作】
效果：聲譽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結果：業務臉色有點難看，但病人們私下說你很正直。</t>
    </r>
  </si>
  <si>
    <t xml:space="preserve">fall_lobby</t>
  </si>
  <si>
    <t xml:space="preserve">大廳有人跌倒</t>
  </si>
  <si>
    <t xml:space="preserve">一位阿伯在大廳地板滑了一跤，家屬衝進來大聲問：「你們的地板是怎麼回事？」</t>
  </si>
  <si>
    <r>
      <rPr>
        <sz val="10"/>
        <rFont val="Arial"/>
        <family val="2"/>
      </rPr>
      <t xml:space="preserve">【立刻送急診，全程陪同】
效果：資金 −</t>
    </r>
    <r>
      <rPr>
        <sz val="10"/>
        <rFont val="Arial"/>
        <family val="0"/>
        <charset val="1"/>
      </rPr>
      <t xml:space="preserve">NT$ 120,000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結果：阿伯只是擦傷加扭到腳，家屬紅著眼眶說：「還好你們有處理。」</t>
    </r>
  </si>
  <si>
    <r>
      <rPr>
        <sz val="10"/>
        <rFont val="Arial"/>
        <family val="2"/>
      </rPr>
      <t xml:space="preserve">【請家屬簽切結書就好】
效果：聲譽 −</t>
    </r>
    <r>
      <rPr>
        <sz val="10"/>
        <rFont val="Arial"/>
        <family val="0"/>
        <charset val="1"/>
      </rPr>
      <t xml:space="preserve">12
</t>
    </r>
    <r>
      <rPr>
        <sz val="10"/>
        <rFont val="Arial"/>
        <family val="2"/>
      </rPr>
      <t xml:space="preserve">結果：切結書寫得密密麻麻，家屬簽了，但診所的口碑被寫在大家的 </t>
    </r>
    <r>
      <rPr>
        <sz val="10"/>
        <rFont val="Arial"/>
        <family val="0"/>
        <charset val="1"/>
      </rPr>
      <t xml:space="preserve">LINE </t>
    </r>
    <r>
      <rPr>
        <sz val="10"/>
        <rFont val="Arial"/>
        <family val="2"/>
      </rPr>
      <t xml:space="preserve">群組裡。</t>
    </r>
  </si>
  <si>
    <t xml:space="preserve">staff_birthday</t>
  </si>
  <si>
    <t xml:space="preserve">護理師生日</t>
  </si>
  <si>
    <t xml:space="preserve">櫃檯護理師生日，同事們想辦個小派對，問醫生能不能出點經費。</t>
  </si>
  <si>
    <r>
      <rPr>
        <sz val="10"/>
        <rFont val="Arial"/>
        <family val="2"/>
      </rPr>
      <t xml:space="preserve">【全額買蛋糕，犒賞辛苦】
效果：資金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結果：一顆六吋蛋糕被分成二十塊，大家吃到嘴角都是奶油，士氣回升。</t>
    </r>
  </si>
  <si>
    <r>
      <rPr>
        <sz val="10"/>
        <rFont val="Arial"/>
        <family val="2"/>
      </rPr>
      <t xml:space="preserve">【大家自己湊錢吧】
效果：聲譽 −</t>
    </r>
    <r>
      <rPr>
        <sz val="10"/>
        <rFont val="Arial"/>
        <family val="0"/>
        <charset val="1"/>
      </rPr>
      <t xml:space="preserve">1
</t>
    </r>
    <r>
      <rPr>
        <sz val="10"/>
        <rFont val="Arial"/>
        <family val="2"/>
      </rPr>
      <t xml:space="preserve">結果：最後湊出一杯珍奶和一句「生日快樂」。護理師說：「謝謝醫生的心意。」</t>
    </r>
  </si>
  <si>
    <t xml:space="preserve">viral_video</t>
  </si>
  <si>
    <t xml:space="preserve">病人影片爆紅</t>
  </si>
  <si>
    <r>
      <rPr>
        <sz val="10"/>
        <rFont val="Arial"/>
        <family val="2"/>
      </rPr>
      <t xml:space="preserve">聲譽 ≥ </t>
    </r>
    <r>
      <rPr>
        <sz val="10"/>
        <rFont val="Arial"/>
        <family val="0"/>
        <charset val="1"/>
      </rPr>
      <t xml:space="preserve">60</t>
    </r>
  </si>
  <si>
    <t xml:space="preserve">有病人偷偷拍了你幫他做徒手治療的影片，上傳後居然爆紅，留言一堆「我也要看這醫生」。</t>
  </si>
  <si>
    <r>
      <rPr>
        <sz val="10"/>
        <rFont val="Arial"/>
        <family val="2"/>
      </rPr>
      <t xml:space="preserve">【順勢拍衛教短片，好好經營】
效果：資金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+15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+10
</t>
    </r>
    <r>
      <rPr>
        <sz val="10"/>
        <rFont val="Arial"/>
        <family val="2"/>
      </rPr>
      <t xml:space="preserve">結果：短片教大家「坐久了記得起來動一動」，粉絲破萬，你的名字開始有人念對了。</t>
    </r>
  </si>
  <si>
    <r>
      <rPr>
        <sz val="10"/>
        <rFont val="Arial"/>
        <family val="2"/>
      </rPr>
      <t xml:space="preserve">【請病人把影片刪掉】
效果：聲譽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結果：病人很委屈地刪了，但網友已經截圖了一萬次。</t>
    </r>
  </si>
  <si>
    <t xml:space="preserve">equip_recall</t>
  </si>
  <si>
    <t xml:space="preserve">儀器召回通知</t>
  </si>
  <si>
    <r>
      <rPr>
        <sz val="10"/>
        <rFont val="Arial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年起（開業即符合），且有電療儀</t>
    </r>
  </si>
  <si>
    <t xml:space="preserve">廠商發通知，你家那台電療儀有安全疑慮要召回，換新機要自費，還附一張道歉信。</t>
  </si>
  <si>
    <r>
      <rPr>
        <sz val="10"/>
        <rFont val="Arial"/>
        <family val="2"/>
      </rPr>
      <t xml:space="preserve">【立刻換新，安全第一】（需有資金 </t>
    </r>
    <r>
      <rPr>
        <sz val="10"/>
        <rFont val="Arial"/>
        <family val="0"/>
        <charset val="1"/>
      </rPr>
      <t xml:space="preserve">NT$ 600,000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NT$ 600,000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、儀器點數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結果：新機器亮亮的，病人說「這台看起來比較可靠」，你心裡鬆了一口氣。</t>
    </r>
  </si>
  <si>
    <r>
      <rPr>
        <sz val="10"/>
        <rFont val="Arial"/>
        <family val="2"/>
      </rPr>
      <t xml:space="preserve">【先用舊的，觀察看看】
效果：聲譽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結果：病人在候診區問：「那台是不是有問題的那台？」你只能笑笑說還好啦。</t>
    </r>
  </si>
  <si>
    <t xml:space="preserve">insurance_sales</t>
  </si>
  <si>
    <t xml:space="preserve">保險業務上門</t>
  </si>
  <si>
    <t xml:space="preserve">保險業務說可以幫員工辦團體醫療險，保費算你們便宜，但要先簽一堆資料。</t>
  </si>
  <si>
    <r>
      <rPr>
        <sz val="10"/>
        <rFont val="Arial"/>
        <family val="2"/>
      </rPr>
      <t xml:space="preserve">【幫員工加保】
效果：資金 −</t>
    </r>
    <r>
      <rPr>
        <sz val="10"/>
        <rFont val="Arial"/>
        <family val="0"/>
        <charset val="1"/>
      </rPr>
      <t xml:space="preserve">NT$ 160,000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結果：員工收到保單很開心，說「醫生你人真好」。你只好把它當作福利。</t>
    </r>
  </si>
  <si>
    <t xml:space="preserve">【婉拒，我自己的保險都看不懂】
效果：無數值效果（僅影響劇情）
結果：業務說：「沒關係，下次再聊！」下次他又來了，你又說不。</t>
  </si>
  <si>
    <t xml:space="preserve">govt_subsidy</t>
  </si>
  <si>
    <t xml:space="preserve">衛生局補助公告</t>
  </si>
  <si>
    <t xml:space="preserve">衛生局公告長照整合補助，申請表有十七頁，光是附件就要三個月。</t>
  </si>
  <si>
    <r>
      <rPr>
        <sz val="10"/>
        <rFont val="Arial"/>
        <family val="2"/>
      </rPr>
      <t xml:space="preserve">【申請，準備一整箱資料】
效果：資金 </t>
    </r>
    <r>
      <rPr>
        <sz val="10"/>
        <rFont val="Arial"/>
        <family val="0"/>
        <charset val="1"/>
      </rPr>
      <t xml:space="preserve">+NT$ 320,000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結果：行政阿姨熬夜影印，終於把補助拿下來。她說：「這輩子再也不想看到影印機。」</t>
    </r>
  </si>
  <si>
    <t xml:space="preserve">【不想搞這麼多文書】
效果：無數值效果（僅影響劇情）
結果：你把公告貼在茶水間，偶爾看一眼，覺得好像錯過了什麼。</t>
  </si>
  <si>
    <t xml:space="preserve">school_talk</t>
  </si>
  <si>
    <t xml:space="preserve">國小邀請講座</t>
  </si>
  <si>
    <t xml:space="preserve">附近國小的老師來電：「醫生，我們想請你來講一堂『如何坐得好、背不痛』，小朋友超有興趣的！」</t>
  </si>
  <si>
    <r>
      <rPr>
        <sz val="10"/>
        <rFont val="Arial"/>
        <family val="2"/>
      </rPr>
      <t xml:space="preserve">【去講，順便做篩檢】
效果：聲譽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+8
</t>
    </r>
    <r>
      <rPr>
        <sz val="10"/>
        <rFont val="Arial"/>
        <family val="2"/>
      </rPr>
      <t xml:space="preserve">結果：小朋友人手一張坐姿貼紙，還有一個小朋友問你：「醫生，你會不會痛痛？」</t>
    </r>
  </si>
  <si>
    <r>
      <rPr>
        <sz val="10"/>
        <rFont val="Arial"/>
        <family val="2"/>
      </rPr>
      <t xml:space="preserve">【婉拒，週末要休息】
效果：聲譽 −</t>
    </r>
    <r>
      <rPr>
        <sz val="10"/>
        <rFont val="Arial"/>
        <family val="0"/>
        <charset val="1"/>
      </rPr>
      <t xml:space="preserve">1
</t>
    </r>
    <r>
      <rPr>
        <sz val="10"/>
        <rFont val="Arial"/>
        <family val="2"/>
      </rPr>
      <t xml:space="preserve">結果：老師說沒關係，但班級群組裡有家長默默問：「診所是不是很忙？」</t>
    </r>
  </si>
  <si>
    <t xml:space="preserve">parking_fine</t>
  </si>
  <si>
    <t xml:space="preserve">門口被開罰單</t>
  </si>
  <si>
    <t xml:space="preserve">路邊臨停的救護車（不是我們的）被拖吊，里民抱怨說是診所門口讓車子亂停。</t>
  </si>
  <si>
    <r>
      <rPr>
        <sz val="10"/>
        <rFont val="Arial"/>
        <family val="2"/>
      </rPr>
      <t xml:space="preserve">【請行政去跟交通局溝通】
效果：資金 −</t>
    </r>
    <r>
      <rPr>
        <sz val="10"/>
        <rFont val="Arial"/>
        <family val="0"/>
        <charset val="1"/>
      </rPr>
      <t xml:space="preserve">NT$ 80,000
</t>
    </r>
    <r>
      <rPr>
        <sz val="10"/>
        <rFont val="Arial"/>
        <family val="2"/>
      </rPr>
      <t xml:space="preserve">結果：行政阿姨跑了三趟區公所，罰單打折了一半，她說以後她要買機車。</t>
    </r>
  </si>
  <si>
    <r>
      <rPr>
        <sz val="10"/>
        <rFont val="Arial"/>
        <family val="2"/>
      </rPr>
      <t xml:space="preserve">【在門口貼公告，請大家勿停】
效果：聲譽 −</t>
    </r>
    <r>
      <rPr>
        <sz val="10"/>
        <rFont val="Arial"/>
        <family val="0"/>
        <charset val="1"/>
      </rPr>
      <t xml:space="preserve">2
</t>
    </r>
    <r>
      <rPr>
        <sz val="10"/>
        <rFont val="Arial"/>
        <family val="2"/>
      </rPr>
      <t xml:space="preserve">結果：公告貼得很漂亮，但車還是停在那裡，大家把公告當成廣告。</t>
    </r>
  </si>
  <si>
    <r>
      <rPr>
        <sz val="10"/>
        <rFont val="Arial"/>
        <family val="2"/>
      </rPr>
      <t xml:space="preserve">擴充（</t>
    </r>
    <r>
      <rPr>
        <sz val="10"/>
        <rFont val="Arial"/>
        <family val="0"/>
        <charset val="1"/>
      </rPr>
      <t xml:space="preserve">events_ext.js</t>
    </r>
    <r>
      <rPr>
        <sz val="10"/>
        <rFont val="Arial"/>
        <family val="2"/>
      </rPr>
      <t xml:space="preserve">）</t>
    </r>
  </si>
  <si>
    <t xml:space="preserve">nhi_ratio_review</t>
  </si>
  <si>
    <t xml:space="preserve">專業審查：等級比例怪怪的</t>
  </si>
  <si>
    <r>
      <rPr>
        <sz val="10"/>
        <rFont val="Arial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年起（開業即符合），且本月健保點數達上限的 </t>
    </r>
    <r>
      <rPr>
        <sz val="10"/>
        <rFont val="Arial"/>
        <family val="0"/>
        <charset val="1"/>
      </rPr>
      <t xml:space="preserve">90% </t>
    </r>
    <r>
      <rPr>
        <sz val="10"/>
        <rFont val="Arial"/>
        <family val="2"/>
      </rPr>
      <t xml:space="preserve">以上</t>
    </r>
  </si>
  <si>
    <t xml:space="preserve">審查來函說：「貴所複雜治療占比，和鄰近同儕不太一樣。」主任看著報表，報表也看著主任。</t>
  </si>
  <si>
    <r>
      <rPr>
        <sz val="10"/>
        <rFont val="Arial"/>
        <family val="2"/>
      </rPr>
      <t xml:space="preserve">【補齊治療紀錄與時間表，全力備審】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結果：同仁熬夜把每一筆治療的時間表補得整整齊齊，審查員看完點點頭：「這樣就清楚了。」</t>
    </r>
  </si>
  <si>
    <r>
      <rPr>
        <sz val="10"/>
        <rFont val="Arial"/>
        <family val="2"/>
      </rPr>
      <t xml:space="preserve">【申覆，賭一把】（擲骰，成功機率 </t>
    </r>
    <r>
      <rPr>
        <sz val="10"/>
        <rFont val="Arial"/>
        <family val="0"/>
        <charset val="1"/>
      </rPr>
      <t xml:space="preserve">50%</t>
    </r>
    <r>
      <rPr>
        <sz val="10"/>
        <rFont val="Arial"/>
        <family val="2"/>
      </rPr>
      <t xml:space="preserve">）
成功：資金 </t>
    </r>
    <r>
      <rPr>
        <sz val="10"/>
        <rFont val="Arial"/>
        <family val="0"/>
        <charset val="1"/>
      </rPr>
      <t xml:space="preserve">+NT$ 100,000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　結果：申覆成功，核減的金額退了回來，主任把那張退款通知裱框掛在櫃檯後面。
失敗：資金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400 </t>
    </r>
    <r>
      <rPr>
        <sz val="10"/>
        <rFont val="Arial"/>
        <family val="2"/>
      </rPr>
      <t xml:space="preserve">點（扣本月申報點數）
　結果：申覆沒過，健保點數被扣了四百點，主任說：「賭輸就是輸，下次不賭了。」</t>
    </r>
  </si>
  <si>
    <r>
      <rPr>
        <sz val="10"/>
        <rFont val="Arial"/>
        <family val="2"/>
      </rPr>
      <t xml:space="preserve">【認賠，並調整排程】
效果：健保點數 −</t>
    </r>
    <r>
      <rPr>
        <sz val="10"/>
        <rFont val="Arial"/>
        <family val="0"/>
        <charset val="1"/>
      </rPr>
      <t xml:space="preserve">600 </t>
    </r>
    <r>
      <rPr>
        <sz val="10"/>
        <rFont val="Arial"/>
        <family val="2"/>
      </rPr>
      <t xml:space="preserve">點（扣本月申報點數）、健保審查風險 −</t>
    </r>
    <r>
      <rPr>
        <sz val="10"/>
        <rFont val="Arial"/>
        <family val="0"/>
        <charset val="1"/>
      </rPr>
      <t xml:space="preserve">15
</t>
    </r>
    <r>
      <rPr>
        <sz val="10"/>
        <rFont val="Arial"/>
        <family val="2"/>
      </rPr>
      <t xml:space="preserve">結果：排程重新排過，複雜治療攤平到每一週，帳上少了一筆錢，多了一本教訓。</t>
    </r>
  </si>
  <si>
    <t xml:space="preserve">nhi_growth_flag</t>
  </si>
  <si>
    <t xml:space="preserve">申報成長太快被點名</t>
  </si>
  <si>
    <r>
      <rPr>
        <sz val="10"/>
        <rFont val="Arial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年起</t>
    </r>
  </si>
  <si>
    <t xml:space="preserve">公文寫「近期申報成長幅度較高」，同仁私下說：「我們只是太認真。」</t>
  </si>
  <si>
    <r>
      <rPr>
        <sz val="10"/>
        <rFont val="Arial"/>
        <family val="2"/>
      </rPr>
      <t xml:space="preserve">【外聘申報顧問做體檢】
效果：資金 −</t>
    </r>
    <r>
      <rPr>
        <sz val="10"/>
        <rFont val="Arial"/>
        <family val="0"/>
        <charset val="1"/>
      </rPr>
      <t xml:space="preserve">NT$ 150,000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20
</t>
    </r>
    <r>
      <rPr>
        <sz val="10"/>
        <rFont val="Arial"/>
        <family val="2"/>
      </rPr>
      <t xml:space="preserve">結果：顧問翻了三天帳本，指出兩處寫錯的代碼，還說你們的病歷比他前一個客戶好看。</t>
    </r>
  </si>
  <si>
    <r>
      <rPr>
        <sz val="10"/>
        <rFont val="Arial"/>
        <family val="2"/>
      </rPr>
      <t xml:space="preserve">【自己備齊資料】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結果：行政和護理師熬夜整理資料夾，厚得像一本小說，但每一頁都有簽名。</t>
    </r>
  </si>
  <si>
    <r>
      <rPr>
        <sz val="10"/>
        <rFont val="Arial"/>
        <family val="2"/>
      </rPr>
      <t xml:space="preserve">【不理會，生意好是我家的事】（擲骰，成功機率 </t>
    </r>
    <r>
      <rPr>
        <sz val="10"/>
        <rFont val="Arial"/>
        <family val="0"/>
        <charset val="1"/>
      </rPr>
      <t xml:space="preserve">50%</t>
    </r>
    <r>
      <rPr>
        <sz val="10"/>
        <rFont val="Arial"/>
        <family val="2"/>
      </rPr>
      <t xml:space="preserve">）
成功：無數值效果
　結果：這次沒有後續，信件石沉大海，大家鬆了一口氣，只是沒人再敢說生意好。
失敗：聲譽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500 </t>
    </r>
    <r>
      <rPr>
        <sz val="10"/>
        <rFont val="Arial"/>
        <family val="2"/>
      </rPr>
      <t xml:space="preserve">點（扣本月申報點數）
　結果：後來還是被抽到，健保點數扣了五百點，主任的生意好論調暫時收了起來。</t>
    </r>
  </si>
  <si>
    <t xml:space="preserve">nhi_missing_record</t>
  </si>
  <si>
    <t xml:space="preserve">治療紀錄漏簽</t>
  </si>
  <si>
    <t xml:space="preserve">月底對帳發現三十幾張治療單沒簽名，護理師的筆在抽屜裡集體失蹤。</t>
  </si>
  <si>
    <r>
      <rPr>
        <sz val="10"/>
        <rFont val="Arial"/>
        <family val="2"/>
      </rPr>
      <t xml:space="preserve">【全員補單週（週末加班）】
效果：全體員工體力 −</t>
    </r>
    <r>
      <rPr>
        <sz val="10"/>
        <rFont val="Arial"/>
        <family val="0"/>
        <charset val="1"/>
      </rPr>
      <t xml:space="preserve">15</t>
    </r>
    <r>
      <rPr>
        <sz val="10"/>
        <rFont val="Arial"/>
        <family val="2"/>
      </rPr>
      <t xml:space="preserve">、全體員工士氣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結果：週末的診所只剩影印機的聲音，大家一張一張補簽，簽到手都快抽筋。</t>
    </r>
  </si>
  <si>
    <r>
      <rPr>
        <sz val="10"/>
        <rFont val="Arial"/>
        <family val="2"/>
      </rPr>
      <t xml:space="preserve">【導入電子簽核表單】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9
</t>
    </r>
    <r>
      <rPr>
        <sz val="10"/>
        <rFont val="Arial"/>
        <family val="2"/>
      </rPr>
      <t xml:space="preserve">結果：電子表單上線第一天就有人問：「這個按鈕是要按哪裡？」不過之後單子就很少漏了。</t>
    </r>
  </si>
  <si>
    <r>
      <rPr>
        <sz val="10"/>
        <rFont val="Arial"/>
        <family val="2"/>
      </rPr>
      <t xml:space="preserve">【這些先不報】
效果：健保點數 −</t>
    </r>
    <r>
      <rPr>
        <sz val="10"/>
        <rFont val="Arial"/>
        <family val="0"/>
        <charset val="1"/>
      </rPr>
      <t xml:space="preserve">300 </t>
    </r>
    <r>
      <rPr>
        <sz val="10"/>
        <rFont val="Arial"/>
        <family val="2"/>
      </rPr>
      <t xml:space="preserve">點（扣本月申報點數）
結果：那幾張單子被收進另一個抽屜，健保點數少了三百點，抽屜倒是變乾淨了。</t>
    </r>
  </si>
  <si>
    <t xml:space="preserve">nhi_sixth_visit</t>
  </si>
  <si>
    <t xml:space="preserve">第七次還想只躺不看</t>
  </si>
  <si>
    <t xml:space="preserve">阿嬤第七次報到：「醫生上週才看過啦，我直接躺就好！」</t>
  </si>
  <si>
    <r>
      <rPr>
        <sz val="10"/>
        <rFont val="Arial"/>
        <family val="2"/>
      </rPr>
      <t xml:space="preserve">【請她掛號，醫師重新評估】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結果：阿嬤嘟嘴去掛號，醫師看了三十秒，說：「你還是要躺，但我要看一下你。」</t>
    </r>
  </si>
  <si>
    <r>
      <rPr>
        <sz val="10"/>
        <rFont val="Arial"/>
        <family val="2"/>
      </rPr>
      <t xml:space="preserve">【用簡訊提前預約下次回診】
效果：資金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）
結果：簡訊準時送到，阿嬤回了一個貼圖，說：「好啦，知道你們很認真。」</t>
    </r>
  </si>
  <si>
    <r>
      <rPr>
        <sz val="10"/>
        <rFont val="Arial"/>
        <family val="2"/>
      </rPr>
      <t xml:space="preserve">【幫她續處方，反正熟】
效果：全診所病患滿意度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+2.5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）、健保點數 −</t>
    </r>
    <r>
      <rPr>
        <sz val="10"/>
        <rFont val="Arial"/>
        <family val="0"/>
        <charset val="1"/>
      </rPr>
      <t xml:space="preserve">200 </t>
    </r>
    <r>
      <rPr>
        <sz val="10"/>
        <rFont val="Arial"/>
        <family val="2"/>
      </rPr>
      <t xml:space="preserve">點（扣本月申報點數）、健保審查風險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結果：阿嬤笑開了花，印章也蓋得很開心，只是健保的眼睛沒有休假。</t>
    </r>
  </si>
  <si>
    <t xml:space="preserve">nhi_pt_cap</t>
  </si>
  <si>
    <t xml:space="preserve">治療師今天人次爆表</t>
  </si>
  <si>
    <r>
      <rPr>
        <sz val="10"/>
        <rFont val="Arial"/>
        <family val="2"/>
      </rPr>
      <t xml:space="preserve">聘有物理治療師（至少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位）</t>
    </r>
  </si>
  <si>
    <r>
      <rPr>
        <sz val="10"/>
        <rFont val="Arial"/>
        <family val="2"/>
      </rPr>
      <t xml:space="preserve">計數器顯示小林治療師今天已經做到第 </t>
    </r>
    <r>
      <rPr>
        <sz val="10"/>
        <rFont val="Arial"/>
        <family val="0"/>
        <charset val="1"/>
      </rPr>
      <t xml:space="preserve">46 </t>
    </r>
    <r>
      <rPr>
        <sz val="10"/>
        <rFont val="Arial"/>
        <family val="2"/>
      </rPr>
      <t xml:space="preserve">個人，他的手也在抗議。</t>
    </r>
  </si>
  <si>
    <r>
      <rPr>
        <sz val="10"/>
        <rFont val="Arial"/>
        <family val="2"/>
      </rPr>
      <t xml:space="preserve">【加聘兼職治療師】
效果：資金 −</t>
    </r>
    <r>
      <rPr>
        <sz val="10"/>
        <rFont val="Arial"/>
        <family val="0"/>
        <charset val="1"/>
      </rPr>
      <t xml:space="preserve">NT$ 90,000</t>
    </r>
    <r>
      <rPr>
        <sz val="10"/>
        <rFont val="Arial"/>
        <family val="2"/>
      </rPr>
      <t xml:space="preserve">、物理治療師體力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結果：兼職治療師第一天上班，把排程表多看了三遍，總算鬆了一口氣。</t>
    </r>
  </si>
  <si>
    <r>
      <rPr>
        <sz val="10"/>
        <rFont val="Arial"/>
        <family val="2"/>
      </rPr>
      <t xml:space="preserve">【限號，超額請改天】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）
結果：超過的病人改天再來，排隊的阿伯有點不高興，說診所是不是要改成抽籤。</t>
    </r>
  </si>
  <si>
    <r>
      <rPr>
        <sz val="10"/>
        <rFont val="Arial"/>
        <family val="2"/>
      </rPr>
      <t xml:space="preserve">【照做，超過的當義診】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、物理治療師體力 −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、物理治療師士氣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結果：超量的那幾位病人都免費做完，治療師的手臂抗議到第二天才停。</t>
    </r>
  </si>
  <si>
    <t xml:space="preserve">nhi_role_mismatch</t>
  </si>
  <si>
    <t xml:space="preserve">誰做的治療就報誰</t>
  </si>
  <si>
    <r>
      <rPr>
        <sz val="10"/>
        <rFont val="Arial"/>
        <family val="2"/>
      </rPr>
      <t xml:space="preserve">聘有職能治療師（至少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位），且聘有物理治療師（至少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位）</t>
    </r>
  </si>
  <si>
    <t xml:space="preserve">行政發現早療的申報代碼，和實際執行的人對不上，兩邊都說：「我以為你會改。」</t>
  </si>
  <si>
    <r>
      <rPr>
        <sz val="10"/>
        <rFont val="Arial"/>
        <family val="2"/>
      </rPr>
      <t xml:space="preserve">【立刻內部稽核，更正歷史申報】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結果：稽核人員連夜翻出三個月的紀錄，更正單一張張蓋章，整間診所像開了一場小型會議。</t>
    </r>
  </si>
  <si>
    <r>
      <rPr>
        <sz val="10"/>
        <rFont val="Arial"/>
        <family val="2"/>
      </rPr>
      <t xml:space="preserve">【補聘 </t>
    </r>
    <r>
      <rPr>
        <sz val="10"/>
        <rFont val="Arial"/>
        <family val="0"/>
        <charset val="1"/>
      </rPr>
      <t xml:space="preserve">PT </t>
    </r>
    <r>
      <rPr>
        <sz val="10"/>
        <rFont val="Arial"/>
        <family val="2"/>
      </rPr>
      <t xml:space="preserve">專責，</t>
    </r>
    <r>
      <rPr>
        <sz val="10"/>
        <rFont val="Arial"/>
        <family val="0"/>
        <charset val="1"/>
      </rPr>
      <t xml:space="preserve">OT </t>
    </r>
    <r>
      <rPr>
        <sz val="10"/>
        <rFont val="Arial"/>
        <family val="2"/>
      </rPr>
      <t xml:space="preserve">專做職能】
效果：資金 −</t>
    </r>
    <r>
      <rPr>
        <sz val="10"/>
        <rFont val="Arial"/>
        <family val="0"/>
        <charset val="1"/>
      </rPr>
      <t xml:space="preserve">NT$ 100,000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結果：新來的治療師負責早療的大動作，職能治療師也能專心做精細動作，小朋友笑得很開心。</t>
    </r>
  </si>
  <si>
    <r>
      <rPr>
        <sz val="10"/>
        <rFont val="Arial"/>
        <family val="2"/>
      </rPr>
      <t xml:space="preserve">【名稱而已啦】（擲骰，成功機率 </t>
    </r>
    <r>
      <rPr>
        <sz val="10"/>
        <rFont val="Arial"/>
        <family val="0"/>
        <charset val="1"/>
      </rPr>
      <t xml:space="preserve">70%</t>
    </r>
    <r>
      <rPr>
        <sz val="10"/>
        <rFont val="Arial"/>
        <family val="2"/>
      </rPr>
      <t xml:space="preserve">）
成功：無數值效果
　結果：這次沒被查到，大家鬆了一口氣，只是名字的小差異還在那裡等著。
失敗：資金 −</t>
    </r>
    <r>
      <rPr>
        <sz val="10"/>
        <rFont val="Arial"/>
        <family val="0"/>
        <charset val="1"/>
      </rPr>
      <t xml:space="preserve">NT$ 300,000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　結果：有人來查，發現代碼跟人對不上，罰單寄到門口，主任還在說：「只是名稱而已啦。」</t>
    </r>
  </si>
  <si>
    <t xml:space="preserve">nhi_neighbor_fraud</t>
  </si>
  <si>
    <t xml:space="preserve">同業被終止特約的新聞</t>
  </si>
  <si>
    <r>
      <rPr>
        <sz val="10"/>
        <rFont val="Arial"/>
        <family val="2"/>
      </rPr>
      <t xml:space="preserve">聲譽 ≥ </t>
    </r>
    <r>
      <rPr>
        <sz val="10"/>
        <rFont val="Arial"/>
        <family val="0"/>
        <charset val="1"/>
      </rPr>
      <t xml:space="preserve">40</t>
    </r>
  </si>
  <si>
    <t xml:space="preserve">新聞說某區有診所「補卡刷兩次」被停約，阿嬤們到處問：「你們有沒有這樣？」</t>
  </si>
  <si>
    <r>
      <rPr>
        <sz val="10"/>
        <rFont val="Arial"/>
        <family val="2"/>
      </rPr>
      <t xml:space="preserve">【貼公告：一律先診察、不重複刷卡】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
</t>
    </r>
    <r>
      <rPr>
        <sz val="10"/>
        <rFont val="Arial"/>
        <family val="2"/>
      </rPr>
      <t xml:space="preserve">結果：公告貼在掛號櫃檯旁，阿嬤看了點頭：「這樣我就放心了。」</t>
    </r>
  </si>
  <si>
    <r>
      <rPr>
        <sz val="10"/>
        <rFont val="Arial"/>
        <family val="2"/>
      </rPr>
      <t xml:space="preserve">【只回答「我們合法啦」】
效果：聲譽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結果：阿嬤回去跟鄰居說醫生說他們合法，鄰居問：「那有沒有被罰？」阿嬤說：「沒問。」</t>
    </r>
  </si>
  <si>
    <r>
      <rPr>
        <sz val="10"/>
        <rFont val="Arial"/>
        <family val="2"/>
      </rPr>
      <t xml:space="preserve">【趁機接收對方流失的病人】
效果：「同業流失病人」加成，持續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個月）：來客量 </t>
    </r>
    <r>
      <rPr>
        <sz val="10"/>
        <rFont val="Arial"/>
        <family val="0"/>
        <charset val="1"/>
      </rPr>
      <t xml:space="preserve">+10%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結果：有幾位病人被新聞嚇到，轉來這裡，同仁忙到腳都站麻了。</t>
    </r>
  </si>
  <si>
    <t xml:space="preserve">nhi_pv_drop</t>
  </si>
  <si>
    <t xml:space="preserve">季點值下滑</t>
  </si>
  <si>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9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月，且上月健保點值低於 </t>
    </r>
    <r>
      <rPr>
        <sz val="10"/>
        <rFont val="Arial"/>
        <family val="0"/>
        <charset val="1"/>
      </rPr>
      <t xml:space="preserve">0.9</t>
    </r>
  </si>
  <si>
    <t xml:space="preserve">季結算單寄到：點值又掉了。會計小姐說：「我們賣得越多，每點越不值錢。」</t>
  </si>
  <si>
    <r>
      <rPr>
        <sz val="10"/>
        <rFont val="Arial"/>
        <family val="2"/>
      </rPr>
      <t xml:space="preserve">【看板加強自費說明，推有用的自費項目】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、「自費說明看板」加成，持續 </t>
    </r>
    <r>
      <rPr>
        <sz val="10"/>
        <rFont val="Arial"/>
        <family val="0"/>
        <charset val="1"/>
      </rPr>
      <t xml:space="preserve">6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個月）：自費轉換率 </t>
    </r>
    <r>
      <rPr>
        <sz val="10"/>
        <rFont val="Arial"/>
        <family val="0"/>
        <charset val="1"/>
      </rPr>
      <t xml:space="preserve">+4%
</t>
    </r>
    <r>
      <rPr>
        <sz val="10"/>
        <rFont val="Arial"/>
        <family val="2"/>
      </rPr>
      <t xml:space="preserve">結果：看板上的自費項目排得整整齊齊，有位阿姨說：「原來這個有用喔？」</t>
    </r>
  </si>
  <si>
    <r>
      <rPr>
        <sz val="10"/>
        <rFont val="Arial"/>
        <family val="2"/>
      </rPr>
      <t xml:space="preserve">【控制健保量，減少電熱療排程】
效果：「控制健保量」加成，持續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個月）：來客量 −</t>
    </r>
    <r>
      <rPr>
        <sz val="10"/>
        <rFont val="Arial"/>
        <family val="0"/>
        <charset val="1"/>
      </rPr>
      <t xml:space="preserve">10%
</t>
    </r>
    <r>
      <rPr>
        <sz val="10"/>
        <rFont val="Arial"/>
        <family val="2"/>
      </rPr>
      <t xml:space="preserve">結果：電熱療的排程變少了，候診室安靜不少，點值沒有立刻變好，心情倒是變好了。</t>
    </r>
  </si>
  <si>
    <r>
      <rPr>
        <sz val="10"/>
        <rFont val="Arial"/>
        <family val="2"/>
      </rPr>
      <t xml:space="preserve">【先吞下去】
效果：全體員工士氣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結果：大家都沒說話，只是把計算機又按了一次，數字還是一樣。</t>
    </r>
  </si>
  <si>
    <t xml:space="preserve">nhi_clawback</t>
  </si>
  <si>
    <t xml:space="preserve">暫付金額被追回</t>
  </si>
  <si>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9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月</t>
    </r>
  </si>
  <si>
    <t xml:space="preserve">公文寫「暫付與結算差額」，老闆看了三遍，數字沒有變。</t>
  </si>
  <si>
    <r>
      <rPr>
        <sz val="10"/>
        <rFont val="Arial"/>
        <family val="2"/>
      </rPr>
      <t xml:space="preserve">【早就提列準備金】
效果：資金 −</t>
    </r>
    <r>
      <rPr>
        <sz val="10"/>
        <rFont val="Arial"/>
        <family val="0"/>
        <charset val="1"/>
      </rPr>
      <t xml:space="preserve">NT$ 100,000
</t>
    </r>
    <r>
      <rPr>
        <sz val="10"/>
        <rFont val="Arial"/>
        <family val="2"/>
      </rPr>
      <t xml:space="preserve">結果：準備金早就在帳上等著，追回的金額來的時候，會計只淡淡地說：「有準備就不慌。」</t>
    </r>
  </si>
  <si>
    <r>
      <rPr>
        <sz val="10"/>
        <rFont val="Arial"/>
        <family val="2"/>
      </rPr>
      <t xml:space="preserve">【照樣花，扣到再說】
效果：資金 −</t>
    </r>
    <r>
      <rPr>
        <sz val="10"/>
        <rFont val="Arial"/>
        <family val="0"/>
        <charset val="1"/>
      </rPr>
      <t xml:space="preserve">NT$ 200,000
</t>
    </r>
    <r>
      <rPr>
        <sz val="10"/>
        <rFont val="Arial"/>
        <family val="2"/>
      </rPr>
      <t xml:space="preserve">結果：帳戶餘額像退潮一樣往下掉，老闆開始每天早上先看銀行，才敢喝咖啡。</t>
    </r>
  </si>
  <si>
    <r>
      <rPr>
        <sz val="10"/>
        <rFont val="Arial"/>
        <family val="2"/>
      </rPr>
      <t xml:space="preserve">【申請分期】
效果：資金 −</t>
    </r>
    <r>
      <rPr>
        <sz val="10"/>
        <rFont val="Arial"/>
        <family val="0"/>
        <charset val="1"/>
      </rPr>
      <t xml:space="preserve">NT$ 40,000
</t>
    </r>
    <r>
      <rPr>
        <sz val="10"/>
        <rFont val="Arial"/>
        <family val="2"/>
      </rPr>
      <t xml:space="preserve">結果：分期的利息不便宜，但現金流總算能喘口氣，只是每個月都要記得還。</t>
    </r>
  </si>
  <si>
    <t xml:space="preserve">nhi_survey_call</t>
  </si>
  <si>
    <t xml:space="preserve">健保來電訪問病人</t>
  </si>
  <si>
    <t xml:space="preserve">阿伯接到電話被問：「你上禮拜有去復健嗎？」他回頭問櫃檯：「我有去嗎？」</t>
  </si>
  <si>
    <r>
      <rPr>
        <sz val="10"/>
        <rFont val="Arial"/>
        <family val="2"/>
      </rPr>
      <t xml:space="preserve">【告訴病人：據實回答就好】
效果：聲譽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結果：病人開始照實回答，電話那頭的訪員也說：「原來是這樣喔，謝謝你。」</t>
    </r>
  </si>
  <si>
    <r>
      <rPr>
        <sz val="10"/>
        <rFont val="Arial"/>
        <family val="2"/>
      </rPr>
      <t xml:space="preserve">【請同仁整理到診紀錄，備查】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結果：病歷室的資料夾排得很整齊，每一通電話都能對得上日期。</t>
    </r>
  </si>
  <si>
    <r>
      <rPr>
        <sz val="10"/>
        <rFont val="Arial"/>
        <family val="2"/>
      </rPr>
      <t xml:space="preserve">【提醒大家「怎麼回答比較好」】（擲骰，成功機率 </t>
    </r>
    <r>
      <rPr>
        <sz val="10"/>
        <rFont val="Arial"/>
        <family val="0"/>
        <charset val="1"/>
      </rPr>
      <t xml:space="preserve">50%</t>
    </r>
    <r>
      <rPr>
        <sz val="10"/>
        <rFont val="Arial"/>
        <family val="2"/>
      </rPr>
      <t xml:space="preserve">）
成功：無數值效果
　結果：這次沒被發現，同仁互相看了一眼，誰也不敢再提這句話。
失敗：聲譽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400 </t>
    </r>
    <r>
      <rPr>
        <sz val="10"/>
        <rFont val="Arial"/>
        <family val="2"/>
      </rPr>
      <t xml:space="preserve">點（扣本月申報點數）
　結果：被發現了，訪問紀錄寫得清清楚楚，健保點數扣了四百點。</t>
    </r>
  </si>
  <si>
    <t xml:space="preserve">nhi_regular_guest</t>
  </si>
  <si>
    <t xml:space="preserve">回診拿熱敷的常客</t>
  </si>
  <si>
    <t xml:space="preserve">阿伯每週三準時報到，熱敷、聊天、順便評論診所椅子，已經變成里的新聞台。</t>
  </si>
  <si>
    <r>
      <rPr>
        <sz val="10"/>
        <rFont val="Arial"/>
        <family val="2"/>
      </rPr>
      <t xml:space="preserve">【評估後改運動處方，教居家運動】
效果：聲譽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結果：阿伯被教了五套居家運動，抱怨了三天，第四天就開始自己做了。</t>
    </r>
  </si>
  <si>
    <r>
      <rPr>
        <sz val="10"/>
        <rFont val="Arial"/>
        <family val="2"/>
      </rPr>
      <t xml:space="preserve">【轉介社區活動據點】
效果：聲譽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）
結果：阿伯去了社區據點，跟一群阿伯阿嬤下棋，回診少了，話題多了。</t>
    </r>
  </si>
  <si>
    <r>
      <rPr>
        <sz val="10"/>
        <rFont val="Arial"/>
        <family val="2"/>
      </rPr>
      <t xml:space="preserve">【照單全收】
效果：資金 </t>
    </r>
    <r>
      <rPr>
        <sz val="10"/>
        <rFont val="Arial"/>
        <family val="0"/>
        <charset val="1"/>
      </rPr>
      <t xml:space="preserve">+NT$ 40,000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、健保審查風險 </t>
    </r>
    <r>
      <rPr>
        <sz val="10"/>
        <rFont val="Arial"/>
        <family val="0"/>
        <charset val="1"/>
      </rPr>
      <t xml:space="preserve">+6
</t>
    </r>
    <r>
      <rPr>
        <sz val="10"/>
        <rFont val="Arial"/>
        <family val="2"/>
      </rPr>
      <t xml:space="preserve">結果：熱敷的鐘聲一響，阿伯又來了，報表上多了一排數字，風評則悄悄少了一點。</t>
    </r>
  </si>
  <si>
    <t xml:space="preserve">nhi_evidence_news</t>
  </si>
  <si>
    <t xml:space="preserve">新聞說電熱療效果有限</t>
  </si>
  <si>
    <r>
      <rPr>
        <sz val="10"/>
        <rFont val="Arial"/>
        <family val="2"/>
      </rPr>
      <t xml:space="preserve">聲譽 ≥ </t>
    </r>
    <r>
      <rPr>
        <sz val="10"/>
        <rFont val="Arial"/>
        <family val="0"/>
        <charset val="1"/>
      </rPr>
      <t xml:space="preserve">30</t>
    </r>
  </si>
  <si>
    <t xml:space="preserve">候診室電視在播「電療熱療只能暫時舒緩」，所有人同時看向護理師。</t>
  </si>
  <si>
    <r>
      <rPr>
        <sz val="10"/>
        <rFont val="Arial"/>
        <family val="2"/>
      </rPr>
      <t xml:space="preserve">【改版療程：被動治療搭配運動治療】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+8
</t>
    </r>
    <r>
      <rPr>
        <sz val="10"/>
        <rFont val="Arial"/>
        <family val="2"/>
      </rPr>
      <t xml:space="preserve">結果：療程表多了運動課，候診的阿伯問：「原來要動才會好喔？」護理師說：「對，還是要動。」</t>
    </r>
  </si>
  <si>
    <r>
      <rPr>
        <sz val="10"/>
        <rFont val="Arial"/>
        <family val="2"/>
      </rPr>
      <t xml:space="preserve">【衛教說明被動治療的角色】
效果：資金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結果：衛教單寫得很清楚：被動治療是輔助，不是主角，阿姨們說這樣就放心了。</t>
    </r>
  </si>
  <si>
    <r>
      <rPr>
        <sz val="10"/>
        <rFont val="Arial"/>
        <family val="2"/>
      </rPr>
      <t xml:space="preserve">【不理會】
效果：全診所病患滿意度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結果：電視還在播，候診的病人一臉懷疑，接下來幾天的滿意度也跟著往下掉。</t>
    </r>
  </si>
  <si>
    <t xml:space="preserve">nhi_upcode_temptation</t>
  </si>
  <si>
    <t xml:space="preserve">顧問的「優化」建議</t>
  </si>
  <si>
    <t xml:space="preserve">廠商顧問笑著說：「簡單改成中度，多加一項而已，沒人看啦。」</t>
  </si>
  <si>
    <r>
      <rPr>
        <sz val="10"/>
        <rFont val="Arial"/>
        <family val="2"/>
      </rPr>
      <t xml:space="preserve">【婉拒】
效果：聲譽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結果：顧問聳聳肩，把名片留在桌上，主任把名片收進抽屜，說：「以後再說。」</t>
    </r>
  </si>
  <si>
    <r>
      <rPr>
        <sz val="10"/>
        <rFont val="Arial"/>
        <family val="2"/>
      </rPr>
      <t xml:space="preserve">【只做有實際執行的合理調整】
效果：資金 </t>
    </r>
    <r>
      <rPr>
        <sz val="10"/>
        <rFont val="Arial"/>
        <family val="0"/>
        <charset val="1"/>
      </rPr>
      <t xml:space="preserve">+NT$ 60,000</t>
    </r>
    <r>
      <rPr>
        <sz val="10"/>
        <rFont val="Arial"/>
        <family val="2"/>
      </rPr>
      <t xml:space="preserve">、健保審查風險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結果：調整只限真的做過的項目，帳面雖然沒那麼好看，但主任睡得比較安穩。</t>
    </r>
  </si>
  <si>
    <r>
      <rPr>
        <sz val="10"/>
        <rFont val="Arial"/>
        <family val="2"/>
      </rPr>
      <t xml:space="preserve">【大幅優化】（擲骰，成功機率 </t>
    </r>
    <r>
      <rPr>
        <sz val="10"/>
        <rFont val="Arial"/>
        <family val="0"/>
        <charset val="1"/>
      </rPr>
      <t xml:space="preserve">30%</t>
    </r>
    <r>
      <rPr>
        <sz val="10"/>
        <rFont val="Arial"/>
        <family val="2"/>
      </rPr>
      <t xml:space="preserve">）
成功：資金 </t>
    </r>
    <r>
      <rPr>
        <sz val="10"/>
        <rFont val="Arial"/>
        <family val="0"/>
        <charset val="1"/>
      </rPr>
      <t xml:space="preserve">+NT$ 200,000
</t>
    </r>
    <r>
      <rPr>
        <sz val="10"/>
        <rFont val="Arial"/>
        <family val="2"/>
      </rPr>
      <t xml:space="preserve">　結果：這次沒被發現，帳上多了一大筆數字，顧問得意地說：「我就說沒人看吧。」
失敗：資金 −</t>
    </r>
    <r>
      <rPr>
        <sz val="10"/>
        <rFont val="Arial"/>
        <family val="0"/>
        <charset val="1"/>
      </rPr>
      <t xml:space="preserve">NT$ 200,000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600 </t>
    </r>
    <r>
      <rPr>
        <sz val="10"/>
        <rFont val="Arial"/>
        <family val="2"/>
      </rPr>
      <t xml:space="preserve">點（扣本月申報點數）
　結果：後來被審查，補件補到天昏地暗，罰單和退費一起寄來，這筆錢回頭又吐了出去。</t>
    </r>
  </si>
  <si>
    <t xml:space="preserve">nhi_rule_update</t>
  </si>
  <si>
    <t xml:space="preserve">審查注意事項改版</t>
  </si>
  <si>
    <r>
      <rPr>
        <sz val="10"/>
        <rFont val="Arial"/>
        <family val="2"/>
      </rPr>
      <t xml:space="preserve">新規定共 </t>
    </r>
    <r>
      <rPr>
        <sz val="10"/>
        <rFont val="Arial"/>
        <family val="0"/>
        <charset val="1"/>
      </rPr>
      <t xml:space="preserve">37 </t>
    </r>
    <r>
      <rPr>
        <sz val="10"/>
        <rFont val="Arial"/>
        <family val="2"/>
      </rPr>
      <t xml:space="preserve">頁，其中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頁真的重要，但沒人知道是哪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頁。</t>
    </r>
  </si>
  <si>
    <r>
      <rPr>
        <sz val="10"/>
        <rFont val="Arial"/>
        <family val="2"/>
      </rPr>
      <t xml:space="preserve">【辦內部讀書會，一人認養一章】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結果：讀書會開了三次，最後大家一致認為第 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頁最重要，因為大家都在第 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頁睡著了。</t>
    </r>
  </si>
  <si>
    <r>
      <rPr>
        <sz val="10"/>
        <rFont val="Arial"/>
        <family val="2"/>
      </rPr>
      <t xml:space="preserve">【交給行政自己看】（擲骰，成功機率 </t>
    </r>
    <r>
      <rPr>
        <sz val="10"/>
        <rFont val="Arial"/>
        <family val="0"/>
        <charset val="1"/>
      </rPr>
      <t xml:space="preserve">60%</t>
    </r>
    <r>
      <rPr>
        <sz val="10"/>
        <rFont val="Arial"/>
        <family val="2"/>
      </rPr>
      <t xml:space="preserve">）
成功：無數值效果
　結果：行政看完說：「應該沒差。」運氣好，這次沒有後果。
失敗：健保點數 −</t>
    </r>
    <r>
      <rPr>
        <sz val="10"/>
        <rFont val="Arial"/>
        <family val="0"/>
        <charset val="1"/>
      </rPr>
      <t xml:space="preserve">300 </t>
    </r>
    <r>
      <rPr>
        <sz val="10"/>
        <rFont val="Arial"/>
        <family val="2"/>
      </rPr>
      <t xml:space="preserve">點（扣本月申報點數）
　結果：行政漏看了一條規定，審查時被點出來，健保點數扣了三百點。</t>
    </r>
  </si>
  <si>
    <r>
      <rPr>
        <sz val="10"/>
        <rFont val="Arial"/>
        <family val="2"/>
      </rPr>
      <t xml:space="preserve">【加入公會與同業社群討論】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、健保審查風險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結果：社群裡有人分享整理好的重點表，大家邊看邊罵，但至少罵得有方向。</t>
    </r>
  </si>
  <si>
    <t xml:space="preserve">病患與溝通</t>
  </si>
  <si>
    <t xml:space="preserve">cert_traffic</t>
  </si>
  <si>
    <t xml:space="preserve">車禍診斷證明想寫「更嚴重」</t>
  </si>
  <si>
    <t xml:space="preserve">車禍的先生說：「醫生，證明寫嚴重一點，對方保險才會賠。」</t>
  </si>
  <si>
    <r>
      <rPr>
        <sz val="10"/>
        <rFont val="Arial"/>
        <family val="2"/>
      </rPr>
      <t xml:space="preserve">【依病歷如實開立】
效果：聲譽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）
結果：病人嘆了口氣，收下診斷書說：「好吧，那我再去跟對方講。」</t>
    </r>
  </si>
  <si>
    <r>
      <rPr>
        <sz val="10"/>
        <rFont val="Arial"/>
        <family val="2"/>
      </rPr>
      <t xml:space="preserve">【如實開立，附說明可日後補驗傷】
效果：資金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結果：診斷書附上補充說明，後續補驗傷的流程也寫清楚了，病人似懂非懂地點頭。</t>
    </r>
  </si>
  <si>
    <r>
      <rPr>
        <sz val="10"/>
        <rFont val="Arial"/>
        <family val="2"/>
      </rPr>
      <t xml:space="preserve">【稍微寫重一點】（擲骰，成功機率 </t>
    </r>
    <r>
      <rPr>
        <sz val="10"/>
        <rFont val="Arial"/>
        <family val="0"/>
        <charset val="1"/>
      </rPr>
      <t xml:space="preserve">70%</t>
    </r>
    <r>
      <rPr>
        <sz val="10"/>
        <rFont val="Arial"/>
        <family val="2"/>
      </rPr>
      <t xml:space="preserve">）
成功：資金 </t>
    </r>
    <r>
      <rPr>
        <sz val="10"/>
        <rFont val="Arial"/>
        <family val="0"/>
        <charset val="1"/>
      </rPr>
      <t xml:space="preserve">+NT$ 30,000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）
　結果：病人笑得很開心，理賠似乎很順利，沒有人來追查。
失敗：資金 −</t>
    </r>
    <r>
      <rPr>
        <sz val="10"/>
        <rFont val="Arial"/>
        <family val="0"/>
        <charset val="1"/>
      </rPr>
      <t xml:space="preserve">NT$ 220,000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）
　結果：後來有人來追查病歷，寫重的那一行被圈了起來，罰款加上律師費，診所有點想哭。</t>
    </r>
  </si>
  <si>
    <t xml:space="preserve">cert_labor_injury</t>
  </si>
  <si>
    <t xml:space="preserve">職災傷病給付的蓋章接力</t>
  </si>
  <si>
    <t xml:space="preserve">病人拿著一疊申請書：「老闆說要找醫生蓋，醫生說要找老闆蓋。」</t>
  </si>
  <si>
    <r>
      <rPr>
        <sz val="10"/>
        <rFont val="Arial"/>
        <family val="2"/>
      </rPr>
      <t xml:space="preserve">【協助釐清流程，開診斷書並附說明】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）
結果：櫃檯幫忙畫出流程圖，病人拿到蓋好的文件，感動得差點把流程圖也一起裱框。</t>
    </r>
  </si>
  <si>
    <r>
      <rPr>
        <sz val="10"/>
        <rFont val="Arial"/>
        <family val="2"/>
      </rPr>
      <t xml:space="preserve">【只開診斷書】
效果：全診所病患滿意度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）
結果：診斷書開好了，但流程還是病人自己跑，他一路念念有詞地走出診所。</t>
    </r>
  </si>
  <si>
    <r>
      <rPr>
        <sz val="10"/>
        <rFont val="Arial"/>
        <family val="2"/>
      </rPr>
      <t xml:space="preserve">【建議轉職業醫學專科】
效果：聲譽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）
結果：病人被轉介到專科，多了一條路，只是少了一點被照顧的感覺。</t>
    </r>
  </si>
  <si>
    <t xml:space="preserve">cert_diag_wording</t>
  </si>
  <si>
    <t xml:space="preserve">保險公司說病名不一樣</t>
  </si>
  <si>
    <t xml:space="preserve">保險業務傳來訊息：「診斷書上的病名跟保單差一個字。」那一個字是病人的整個週末。</t>
  </si>
  <si>
    <r>
      <rPr>
        <sz val="10"/>
        <rFont val="Arial"/>
        <family val="2"/>
      </rPr>
      <t xml:space="preserve">【逐字對照、加註、重新開立】
效果：資金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+2.5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）
結果：逐字比對完，病名旁邊多了一行小字說明，病人說：「原來差一個字這麼麻煩。」</t>
    </r>
  </si>
  <si>
    <r>
      <rPr>
        <sz val="10"/>
        <rFont val="Arial"/>
        <family val="2"/>
      </rPr>
      <t xml:space="preserve">【請病人自己跟保險公司說明】
效果：全診所病患滿意度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）
結果：病人打了三通電話，最後還是回來問：「醫生，你可以再寫一次嗎？」</t>
    </r>
  </si>
  <si>
    <r>
      <rPr>
        <sz val="10"/>
        <rFont val="Arial"/>
        <family val="2"/>
      </rPr>
      <t xml:space="preserve">【開診所制式說明單】
效果：資金 −</t>
    </r>
    <r>
      <rPr>
        <sz val="10"/>
        <rFont val="Arial"/>
        <family val="0"/>
        <charset val="1"/>
      </rPr>
      <t xml:space="preserve">NT$ 10,000
</t>
    </r>
    <r>
      <rPr>
        <sz val="10"/>
        <rFont val="Arial"/>
        <family val="2"/>
      </rPr>
      <t xml:space="preserve">結果：制式說明單印了一百張，之後遇到類似情況的病人都能拿到一張，效率變高了。</t>
    </r>
  </si>
  <si>
    <t xml:space="preserve">folk_regret</t>
  </si>
  <si>
    <t xml:space="preserve">推拿後手麻來求診</t>
  </si>
  <si>
    <t xml:space="preserve">病人說：「師傅說喬一下就好，結果現在手麻到連手機都拿不穩。」</t>
  </si>
  <si>
    <r>
      <rPr>
        <sz val="10"/>
        <rFont val="Arial"/>
        <family val="2"/>
      </rPr>
      <t xml:space="preserve">【完整評估，必要時轉骨科】
效果：聲譽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）
結果：評估後發現是頸部的問題，病人鬆了一口氣，醫師也開了一張轉診單。</t>
    </r>
  </si>
  <si>
    <r>
      <rPr>
        <sz val="10"/>
        <rFont val="Arial"/>
        <family val="2"/>
      </rPr>
      <t xml:space="preserve">【順勢宣導「民俗調理不是醫療」】
效果：聲譽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結果：宣導內容沒有錯，但語氣有點像在罵人，病人默默把手機收進口袋。</t>
    </r>
  </si>
  <si>
    <t xml:space="preserve">【簡單處理後收診】
效果：無數值效果（僅影響劇情）
結果：簡單處理完病人離開，手還是麻的，但至少收費單是乾淨的。</t>
  </si>
  <si>
    <t xml:space="preserve">chiro_request</t>
  </si>
  <si>
    <t xml:space="preserve">「幫我喬一下就好」</t>
  </si>
  <si>
    <t xml:space="preserve">病人躺上治療床，手比著脖子：「醫生，直接給我來一下『喀』就好。」</t>
  </si>
  <si>
    <r>
      <rPr>
        <sz val="10"/>
        <rFont val="Arial"/>
        <family val="2"/>
      </rPr>
      <t xml:space="preserve">【評估後只做安全的徒手與鬆動】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）
結果：徒手鬆動做完，病人說：「沒有喀一聲，但好像比較舒服。」</t>
    </r>
  </si>
  <si>
    <r>
      <rPr>
        <sz val="10"/>
        <rFont val="Arial"/>
        <family val="2"/>
      </rPr>
      <t xml:space="preserve">【婉拒並說明禁忌與風險】
效果：聲譽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）
結果：病人嘟囔著要去找別人喀，診所的衛教卡卻被他帶走了一張。</t>
    </r>
  </si>
  <si>
    <r>
      <rPr>
        <sz val="10"/>
        <rFont val="Arial"/>
        <family val="2"/>
      </rPr>
      <t xml:space="preserve">【介紹合法管道，附衛教卡】
效果：資金 −</t>
    </r>
    <r>
      <rPr>
        <sz val="10"/>
        <rFont val="Arial"/>
        <family val="0"/>
        <charset val="1"/>
      </rPr>
      <t xml:space="preserve">NT$ 3,000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結果：衛教卡寫得很清楚，病人收下後說：「好啦，我先來做復健。」</t>
    </r>
  </si>
  <si>
    <t xml:space="preserve">acupuncture_confuse</t>
  </si>
  <si>
    <t xml:space="preserve">「復健科有針灸嗎？健保付嗎？」</t>
  </si>
  <si>
    <r>
      <rPr>
        <sz val="10"/>
        <rFont val="Arial"/>
        <family val="2"/>
      </rPr>
      <t xml:space="preserve">聘有復健科醫師（至少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位）</t>
    </r>
  </si>
  <si>
    <t xml:space="preserve">阿嬤問：「你們有針灸嗎？我鄰居說健保有給付。」鄰居永遠是消息來源。</t>
  </si>
  <si>
    <r>
      <rPr>
        <sz val="10"/>
        <rFont val="Arial"/>
        <family val="2"/>
      </rPr>
      <t xml:space="preserve">【清楚說明自費，或轉介中醫】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）
結果：阿嬤聽完點點頭：「原來要自費喔，那我先去問問看中醫。」</t>
    </r>
  </si>
  <si>
    <r>
      <rPr>
        <sz val="10"/>
        <rFont val="Arial"/>
        <family val="2"/>
      </rPr>
      <t xml:space="preserve">【提供自費針灸（醫師已受訓）】
效果：資金 </t>
    </r>
    <r>
      <rPr>
        <sz val="10"/>
        <rFont val="Arial"/>
        <family val="0"/>
        <charset val="1"/>
      </rPr>
      <t xml:space="preserve">+NT$ 50,000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）、設定旗標「</t>
    </r>
    <r>
      <rPr>
        <sz val="10"/>
        <rFont val="Arial"/>
        <family val="0"/>
        <charset val="1"/>
      </rPr>
      <t xml:space="preserve">acupuncture_trained</t>
    </r>
    <r>
      <rPr>
        <sz val="10"/>
        <rFont val="Arial"/>
        <family val="2"/>
      </rPr>
      <t xml:space="preserve">」
結果：醫師翻出受訓證書，阿嬤說：「那我就試一次看看。」</t>
    </r>
  </si>
  <si>
    <r>
      <rPr>
        <sz val="10"/>
        <rFont val="Arial"/>
        <family val="2"/>
      </rPr>
      <t xml:space="preserve">【說「看看再說」】
效果：全診所病患滿意度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結果：阿嬤說：「那我再想想。」想完就去隔壁找答案了。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</si>
  <si>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acupuncture_trained</t>
    </r>
    <r>
      <rPr>
        <sz val="10"/>
        <rFont val="Arial"/>
        <family val="2"/>
      </rPr>
      <t xml:space="preserve">」</t>
    </r>
  </si>
  <si>
    <t xml:space="preserve">shockwave_price</t>
  </si>
  <si>
    <t xml:space="preserve">震波比隔壁貴</t>
  </si>
  <si>
    <t xml:space="preserve">有震波儀 或 震波治療室</t>
  </si>
  <si>
    <t xml:space="preserve">病人拿出手機：「隔壁便宜五百，你們為什麼比較貴？」</t>
  </si>
  <si>
    <r>
      <rPr>
        <sz val="10"/>
        <rFont val="Arial"/>
        <family val="2"/>
      </rPr>
      <t xml:space="preserve">【公開價目與適應症說明】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）
結果：價目表貼在牆上，適應症寫得清清楚楚，病人說：「原來是差在設備和時間。」</t>
    </r>
  </si>
  <si>
    <r>
      <rPr>
        <sz val="10"/>
        <rFont val="Arial"/>
        <family val="2"/>
      </rPr>
      <t xml:space="preserve">【打折留客】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）
結果：優惠價讓病人很開心，只是櫃檯算帳的時候，有人小聲嘆了一口氣。</t>
    </r>
  </si>
  <si>
    <r>
      <rPr>
        <sz val="10"/>
        <rFont val="Arial"/>
        <family val="2"/>
      </rPr>
      <t xml:space="preserve">【推十堂套餐】
效果：資金 </t>
    </r>
    <r>
      <rPr>
        <sz val="10"/>
        <rFont val="Arial"/>
        <family val="0"/>
        <charset val="1"/>
      </rPr>
      <t xml:space="preserve">+NT$ 150,000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6
</t>
    </r>
    <r>
      <rPr>
        <sz val="10"/>
        <rFont val="Arial"/>
        <family val="2"/>
      </rPr>
      <t xml:space="preserve">結果：套餐賣得很好，病人做完三堂就開始問：「還有效嗎？」</t>
    </r>
  </si>
  <si>
    <t xml:space="preserve">prp_claim_denied</t>
  </si>
  <si>
    <r>
      <rPr>
        <sz val="10"/>
        <rFont val="Arial"/>
        <family val="0"/>
        <charset val="1"/>
      </rPr>
      <t xml:space="preserve">PRP </t>
    </r>
    <r>
      <rPr>
        <sz val="10"/>
        <rFont val="Arial"/>
        <family val="2"/>
      </rPr>
      <t xml:space="preserve">實支險被拒賠</t>
    </r>
  </si>
  <si>
    <t xml:space="preserve">病人說：「打了好幾針，保險說不賠，是你們的診斷書沒寫對嗎？」</t>
  </si>
  <si>
    <r>
      <rPr>
        <sz val="10"/>
        <rFont val="Arial"/>
        <family val="2"/>
      </rPr>
      <t xml:space="preserve">【如實開立，並提醒事前確認保單】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結果：診斷書照實寫，病人聽完說：「早知道就先問保險了。」</t>
    </r>
  </si>
  <si>
    <r>
      <rPr>
        <sz val="10"/>
        <rFont val="Arial"/>
        <family val="2"/>
      </rPr>
      <t xml:space="preserve">【幫忙修辭】（擲骰，成功機率 </t>
    </r>
    <r>
      <rPr>
        <sz val="10"/>
        <rFont val="Arial"/>
        <family val="0"/>
        <charset val="1"/>
      </rPr>
      <t xml:space="preserve">70%</t>
    </r>
    <r>
      <rPr>
        <sz val="10"/>
        <rFont val="Arial"/>
        <family val="2"/>
      </rPr>
      <t xml:space="preserve">）
成功：全診所病患滿意度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）
　結果：修辭得很漂亮，病人很滿意，理賠也順利，只有櫃檯知道那段文字有多勉強。
失敗：資金 −</t>
    </r>
    <r>
      <rPr>
        <sz val="10"/>
        <rFont val="Arial"/>
        <family val="0"/>
        <charset val="1"/>
      </rPr>
      <t xml:space="preserve">NT$ 150,000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）
　結果：審查時修辭被點出，理賠遭拒，還要退回一筆款項，名聲也跟著打了折扣。</t>
    </r>
  </si>
  <si>
    <r>
      <rPr>
        <sz val="10"/>
        <rFont val="Arial"/>
        <family val="2"/>
      </rPr>
      <t xml:space="preserve">【暫停推廣 </t>
    </r>
    <r>
      <rPr>
        <sz val="10"/>
        <rFont val="Arial"/>
        <family val="0"/>
        <charset val="1"/>
      </rPr>
      <t xml:space="preserve">PRP</t>
    </r>
    <r>
      <rPr>
        <sz val="10"/>
        <rFont val="Arial"/>
        <family val="2"/>
      </rPr>
      <t xml:space="preserve">，改教運動】
效果：資金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prp_paused</t>
    </r>
    <r>
      <rPr>
        <sz val="10"/>
        <rFont val="Arial"/>
        <family val="2"/>
      </rPr>
      <t xml:space="preserve">」
結果：</t>
    </r>
    <r>
      <rPr>
        <sz val="10"/>
        <rFont val="Arial"/>
        <family val="0"/>
        <charset val="1"/>
      </rPr>
      <t xml:space="preserve">PRP </t>
    </r>
    <r>
      <rPr>
        <sz val="10"/>
        <rFont val="Arial"/>
        <family val="2"/>
      </rPr>
      <t xml:space="preserve">的宣傳海報下架，改貼上居家運動示範，少賺一點，但晚上睡得安穩。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</si>
  <si>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prp_paused</t>
    </r>
    <r>
      <rPr>
        <sz val="10"/>
        <rFont val="Arial"/>
        <family val="2"/>
      </rPr>
      <t xml:space="preserve">」</t>
    </r>
  </si>
  <si>
    <t xml:space="preserve">laser_hype</t>
  </si>
  <si>
    <t xml:space="preserve">廠商文宣：功率差一千倍</t>
  </si>
  <si>
    <t xml:space="preserve">有高能量雷射室</t>
  </si>
  <si>
    <t xml:space="preserve">業務送來看板：「功率差一千倍！」看板很閃，法規有點暗。</t>
  </si>
  <si>
    <r>
      <rPr>
        <sz val="10"/>
        <rFont val="Arial"/>
        <family val="2"/>
      </rPr>
      <t xml:space="preserve">【原文貼出】（擲骰，成功機率 </t>
    </r>
    <r>
      <rPr>
        <sz val="10"/>
        <rFont val="Arial"/>
        <family val="0"/>
        <charset val="1"/>
      </rPr>
      <t xml:space="preserve">80%</t>
    </r>
    <r>
      <rPr>
        <sz val="10"/>
        <rFont val="Arial"/>
        <family val="2"/>
      </rPr>
      <t xml:space="preserve">）
成功：資金 </t>
    </r>
    <r>
      <rPr>
        <sz val="10"/>
        <rFont val="Arial"/>
        <family val="0"/>
        <charset val="1"/>
      </rPr>
      <t xml:space="preserve">+NT$ 100,000
</t>
    </r>
    <r>
      <rPr>
        <sz val="10"/>
        <rFont val="Arial"/>
        <family val="2"/>
      </rPr>
      <t xml:space="preserve">　結果：看板亮了一週，來的人很多，大家都在討論「一千倍」到底是什麼意思。
失敗：資金 </t>
    </r>
    <r>
      <rPr>
        <sz val="10"/>
        <rFont val="Arial"/>
        <family val="0"/>
        <charset val="1"/>
      </rPr>
      <t xml:space="preserve">+NT$ 50,000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　結果：有人檢舉廣告內容，罰了一點錢，看板也被拆下來，業務說：「下次我改成兩千倍。」</t>
    </r>
  </si>
  <si>
    <r>
      <rPr>
        <sz val="10"/>
        <rFont val="Arial"/>
        <family val="2"/>
      </rPr>
      <t xml:space="preserve">【自己改成保守說明】
效果：資金 </t>
    </r>
    <r>
      <rPr>
        <sz val="10"/>
        <rFont val="Arial"/>
        <family val="0"/>
        <charset val="1"/>
      </rPr>
      <t xml:space="preserve">+NT$ 30,000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結果：看板改寫成保守的字句，來的人少了一些，但沒人來找麻煩。</t>
    </r>
  </si>
  <si>
    <t xml:space="preserve">【不貼】
效果：無數值效果（僅影響劇情）
結果：看板被收進倉庫，業務嘆了口氣：「你們很難搞。」</t>
  </si>
  <si>
    <t xml:space="preserve">ir_lamp_burn</t>
  </si>
  <si>
    <t xml:space="preserve">紅外線燈燙傷</t>
  </si>
  <si>
    <t xml:space="preserve">有紅外線燈</t>
  </si>
  <si>
    <t xml:space="preserve">阿嬤睡著了，燈沒睡，背上多了一塊紅紅的圓。</t>
  </si>
  <si>
    <r>
      <rPr>
        <sz val="10"/>
        <rFont val="Arial"/>
        <family val="2"/>
      </rPr>
      <t xml:space="preserve">【冷敷、評估、全額負責】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）
結果：冷敷、上藥、回診追蹤，阿嬤醒來時說：「你們很會照顧人。」</t>
    </r>
  </si>
  <si>
    <r>
      <rPr>
        <sz val="10"/>
        <rFont val="Arial"/>
        <family val="2"/>
      </rPr>
      <t xml:space="preserve">【道歉並重訂燈距與計時 </t>
    </r>
    <r>
      <rPr>
        <sz val="10"/>
        <rFont val="Arial"/>
        <family val="0"/>
        <charset val="1"/>
      </rPr>
      <t xml:space="preserve">SOP</t>
    </r>
    <r>
      <rPr>
        <sz val="10"/>
        <rFont val="Arial"/>
        <family val="2"/>
      </rPr>
      <t xml:space="preserve">】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ir_sop</t>
    </r>
    <r>
      <rPr>
        <sz val="10"/>
        <rFont val="Arial"/>
        <family val="2"/>
      </rPr>
      <t xml:space="preserve">」
結果：燈距貼上了標記，每十五分鐘就有人來看一次，阿嬤說：「下次我睡前先跟你們講。」</t>
    </r>
  </si>
  <si>
    <r>
      <rPr>
        <sz val="10"/>
        <rFont val="Arial"/>
        <family val="2"/>
      </rPr>
      <t xml:space="preserve">【說是病人自己動了】（擲骰，成功機率 </t>
    </r>
    <r>
      <rPr>
        <sz val="10"/>
        <rFont val="Arial"/>
        <family val="0"/>
        <charset val="1"/>
      </rPr>
      <t xml:space="preserve">70%</t>
    </r>
    <r>
      <rPr>
        <sz val="10"/>
        <rFont val="Arial"/>
        <family val="2"/>
      </rPr>
      <t xml:space="preserve">）
成功：聲譽 −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」、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
　結果：家屬沒有追究，事情就這樣壓了下來，但診所心裡多了一根刺。
失敗：資金 −</t>
    </r>
    <r>
      <rPr>
        <sz val="10"/>
        <rFont val="Arial"/>
        <family val="0"/>
        <charset val="1"/>
      </rPr>
      <t xml:space="preserve">NT$ 200,000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12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」、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
　結果：家屬很生氣，找了律師，事情鬧上檯面，賠償金額比想像中高。</t>
    </r>
  </si>
  <si>
    <r>
      <rPr>
        <sz val="10"/>
        <rFont val="Arial"/>
        <family val="2"/>
      </rPr>
      <t xml:space="preserve">由連鎖觸發：熱敷包恆溫器失靈
選項效果：設定旗標「</t>
    </r>
    <r>
      <rPr>
        <sz val="10"/>
        <rFont val="Arial"/>
        <family val="0"/>
        <charset val="1"/>
      </rPr>
      <t xml:space="preserve">ir_sop</t>
    </r>
    <r>
      <rPr>
        <sz val="10"/>
        <rFont val="Arial"/>
        <family val="2"/>
      </rPr>
      <t xml:space="preserve">」；設定旗標「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」；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</t>
    </r>
  </si>
  <si>
    <t xml:space="preserve">tens_contraindication</t>
  </si>
  <si>
    <t xml:space="preserve">電療貼片與心律調節器</t>
  </si>
  <si>
    <t xml:space="preserve">有電療儀</t>
  </si>
  <si>
    <t xml:space="preserve">護理師正要貼片，阿伯無意間說：「我胸口裡有個鐵盒子。」全場安靜。</t>
  </si>
  <si>
    <r>
      <rPr>
        <sz val="10"/>
        <rFont val="Arial"/>
        <family val="2"/>
      </rPr>
      <t xml:space="preserve">【立刻停止，轉診評估】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結果：貼片被輕輕拿下，家屬接到電話趕來，三天後拿回了一張評估報告。</t>
    </r>
  </si>
  <si>
    <r>
      <rPr>
        <sz val="10"/>
        <rFont val="Arial"/>
        <family val="2"/>
      </rPr>
      <t xml:space="preserve">【補強問診單與勾選欄】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tens_screen</t>
    </r>
    <r>
      <rPr>
        <sz val="10"/>
        <rFont val="Arial"/>
        <family val="2"/>
      </rPr>
      <t xml:space="preserve">」
結果：問診單多了一排勾選欄，心律調節器、癲癇、懷孕都有格子，護理師說：「以後不會漏了。」</t>
    </r>
  </si>
  <si>
    <r>
      <rPr>
        <sz val="10"/>
        <rFont val="Arial"/>
        <family val="2"/>
      </rPr>
      <t xml:space="preserve">【淡化處理】（擲骰，成功機率 </t>
    </r>
    <r>
      <rPr>
        <sz val="10"/>
        <rFont val="Arial"/>
        <family val="0"/>
        <charset val="1"/>
      </rPr>
      <t xml:space="preserve">80%</t>
    </r>
    <r>
      <rPr>
        <sz val="10"/>
        <rFont val="Arial"/>
        <family val="2"/>
      </rPr>
      <t xml:space="preserve">）
成功：聲譽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」、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
　結果：阿伯說沒事，貼片也貼完了，只是那天的心跳聲大得連自己都聽得見。
失敗：資金 −</t>
    </r>
    <r>
      <rPr>
        <sz val="10"/>
        <rFont val="Arial"/>
        <family val="0"/>
        <charset val="1"/>
      </rPr>
      <t xml:space="preserve">NT$ 300,000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」、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
　結果：阿伯事後不舒服，家屬找上門，賠償和道歉信一起送來。</t>
    </r>
  </si>
  <si>
    <r>
      <rPr>
        <sz val="10"/>
        <rFont val="Arial"/>
        <family val="2"/>
      </rPr>
      <t xml:space="preserve">由連鎖觸發：電療儀輸出忽大忽小
選項效果：設定旗標「</t>
    </r>
    <r>
      <rPr>
        <sz val="10"/>
        <rFont val="Arial"/>
        <family val="0"/>
        <charset val="1"/>
      </rPr>
      <t xml:space="preserve">tens_screen</t>
    </r>
    <r>
      <rPr>
        <sz val="10"/>
        <rFont val="Arial"/>
        <family val="2"/>
      </rPr>
      <t xml:space="preserve">」；設定旗標「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」；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週後觸發連鎖事件「醫療爭議調解通知」</t>
    </r>
  </si>
  <si>
    <t xml:space="preserve">queue_cutting</t>
  </si>
  <si>
    <t xml:space="preserve">插隊的病人</t>
  </si>
  <si>
    <t xml:space="preserve">有位先生說「我只做五分鐘」，結果整個下午都在做。</t>
  </si>
  <si>
    <r>
      <rPr>
        <sz val="10"/>
        <rFont val="Arial"/>
        <family val="2"/>
      </rPr>
      <t xml:space="preserve">【護理師出面溫和勸導】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結果：先生被請到候診區，有點不服氣，但坐回去時還是跟大家點頭致意。</t>
    </r>
  </si>
  <si>
    <r>
      <rPr>
        <sz val="10"/>
        <rFont val="Arial"/>
        <family val="2"/>
      </rPr>
      <t xml:space="preserve">【睜一隻眼閉一隻眼】
效果：聲譽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結果：先生做完又做了一次，等候的阿姨開始小聲嘀咕，診所的氣氛也黏糊糊的。</t>
    </r>
  </si>
  <si>
    <r>
      <rPr>
        <sz val="10"/>
        <rFont val="Arial"/>
        <family val="2"/>
      </rPr>
      <t xml:space="preserve">【導入叫號系統】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、「叫號系統」加成，持續 </t>
    </r>
    <r>
      <rPr>
        <sz val="10"/>
        <rFont val="Arial"/>
        <family val="0"/>
        <charset val="1"/>
      </rPr>
      <t xml:space="preserve">104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年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個月）：病患耐心 </t>
    </r>
    <r>
      <rPr>
        <sz val="10"/>
        <rFont val="Arial"/>
        <family val="0"/>
        <charset val="1"/>
      </rPr>
      <t xml:space="preserve">+5%
</t>
    </r>
    <r>
      <rPr>
        <sz val="10"/>
        <rFont val="Arial"/>
        <family val="2"/>
      </rPr>
      <t xml:space="preserve">結果：叫號機裝好了，大家抽號碼的樣子很認真，等候的時間也變得比較好過。</t>
    </r>
  </si>
  <si>
    <t xml:space="preserve">dispute_mediation</t>
  </si>
  <si>
    <t xml:space="preserve">醫療爭議調解通知</t>
  </si>
  <si>
    <r>
      <rPr>
        <sz val="10"/>
        <rFont val="Arial"/>
        <family val="2"/>
      </rPr>
      <t xml:space="preserve">已有旗標「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</t>
    </r>
  </si>
  <si>
    <t xml:space="preserve">調解會來函，信封比醫師的聽診器還重。</t>
  </si>
  <si>
    <r>
      <rPr>
        <sz val="10"/>
        <rFont val="Arial"/>
        <family val="2"/>
      </rPr>
      <t xml:space="preserve">【依規定做關懷、說明、出席調解】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、清除旗標「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
結果：關懷訪視、書面說明一樣不缺，調解會上大家坐下來講了很久，最後握手收場。</t>
    </r>
  </si>
  <si>
    <r>
      <rPr>
        <sz val="10"/>
        <rFont val="Arial"/>
        <family val="2"/>
      </rPr>
      <t xml:space="preserve">【聘律師強硬應對】
效果：資金 −</t>
    </r>
    <r>
      <rPr>
        <sz val="10"/>
        <rFont val="Arial"/>
        <family val="0"/>
        <charset val="1"/>
      </rPr>
      <t xml:space="preserve">NT$ 150,000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、清除旗標「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
結果：律師把文件堆滿會議桌，對方也請了律師，兩邊的信封越來越厚。</t>
    </r>
  </si>
  <si>
    <r>
      <rPr>
        <sz val="10"/>
        <rFont val="Arial"/>
        <family val="2"/>
      </rPr>
      <t xml:space="preserve">【私下和解】
效果：資金 −</t>
    </r>
    <r>
      <rPr>
        <sz val="10"/>
        <rFont val="Arial"/>
        <family val="0"/>
        <charset val="1"/>
      </rPr>
      <t xml:space="preserve">NT$ 100,000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settled</t>
    </r>
    <r>
      <rPr>
        <sz val="10"/>
        <rFont val="Arial"/>
        <family val="2"/>
      </rPr>
      <t xml:space="preserve">」、清除旗標「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
結果：私下談好的金額不算少，但至少不用再上調解會，主任的胃總算不痛了。</t>
    </r>
  </si>
  <si>
    <r>
      <rPr>
        <sz val="10"/>
        <rFont val="Arial"/>
        <family val="2"/>
      </rPr>
      <t xml:space="preserve">由連鎖觸發：紅外線燈燙傷、電療貼片與心律調節器
需要旗標：</t>
    </r>
    <r>
      <rPr>
        <sz val="10"/>
        <rFont val="Arial"/>
        <family val="0"/>
        <charset val="1"/>
      </rPr>
      <t xml:space="preserve">injury
</t>
    </r>
    <r>
      <rPr>
        <sz val="10"/>
        <rFont val="Arial"/>
        <family val="2"/>
      </rPr>
      <t xml:space="preserve">選項效果：清除旗標「</t>
    </r>
    <r>
      <rPr>
        <sz val="10"/>
        <rFont val="Arial"/>
        <family val="0"/>
        <charset val="1"/>
      </rPr>
      <t xml:space="preserve">injury</t>
    </r>
    <r>
      <rPr>
        <sz val="10"/>
        <rFont val="Arial"/>
        <family val="2"/>
      </rPr>
      <t xml:space="preserve">」；設定旗標「</t>
    </r>
    <r>
      <rPr>
        <sz val="10"/>
        <rFont val="Arial"/>
        <family val="0"/>
        <charset val="1"/>
      </rPr>
      <t xml:space="preserve">settled</t>
    </r>
    <r>
      <rPr>
        <sz val="10"/>
        <rFont val="Arial"/>
        <family val="2"/>
      </rPr>
      <t xml:space="preserve">」</t>
    </r>
  </si>
  <si>
    <t xml:space="preserve">flu_mask_policy</t>
  </si>
  <si>
    <t xml:space="preserve">流感季口罩規定</t>
  </si>
  <si>
    <r>
      <rPr>
        <sz val="10"/>
        <rFont val="Arial"/>
        <family val="0"/>
        <charset val="1"/>
      </rPr>
      <t xml:space="preserve">12–2 </t>
    </r>
    <r>
      <rPr>
        <sz val="10"/>
        <rFont val="Arial"/>
        <family val="2"/>
      </rPr>
      <t xml:space="preserve">月</t>
    </r>
  </si>
  <si>
    <t xml:space="preserve">外面咳嗽聲此起彼落，候診室像交響樂團暖身。</t>
  </si>
  <si>
    <r>
      <rPr>
        <sz val="10"/>
        <rFont val="Arial"/>
        <family val="2"/>
      </rPr>
      <t xml:space="preserve">【嚴格要求戴口罩，並發放口罩】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結果：口罩一人一片，櫃檯的紙盒很快就空了，阿伯問：「這個要錢嗎？」</t>
    </r>
  </si>
  <si>
    <r>
      <rPr>
        <sz val="10"/>
        <rFont val="Arial"/>
        <family val="2"/>
      </rPr>
      <t xml:space="preserve">【張貼告示、勸導】
效果：資金 −</t>
    </r>
    <r>
      <rPr>
        <sz val="10"/>
        <rFont val="Arial"/>
        <family val="0"/>
        <charset val="1"/>
      </rPr>
      <t xml:space="preserve">NT$ 5,000
</t>
    </r>
    <r>
      <rPr>
        <sz val="10"/>
        <rFont val="Arial"/>
        <family val="2"/>
      </rPr>
      <t xml:space="preserve">結果：告示貼在門口，大家看了都點頭，咳嗽聲倒是沒有少。</t>
    </r>
  </si>
  <si>
    <r>
      <rPr>
        <sz val="10"/>
        <rFont val="Arial"/>
        <family val="2"/>
      </rPr>
      <t xml:space="preserve">【不處理】
效果：聲譽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結果：沒人戴口罩，同仁陸續請病假，排班表變成一張拼圖。</t>
    </r>
  </si>
  <si>
    <t xml:space="preserve">ltc_aid_inquiry</t>
  </si>
  <si>
    <t xml:space="preserve">長照輔具怎麼申請</t>
  </si>
  <si>
    <t xml:space="preserve">經營重點為「長照復健」</t>
  </si>
  <si>
    <t xml:space="preserve">家屬拿著一疊文件：「聽說可以補助浴室扶手，你們知道怎麼申請嗎？」</t>
  </si>
  <si>
    <r>
      <rPr>
        <sz val="10"/>
        <rFont val="Arial"/>
        <family val="2"/>
      </rPr>
      <t xml:space="preserve">【設立諮詢窗口，印簡單流程卡】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）
結果：家屬拿著流程卡回去，三天後帶著申請書回來，說：「這次一次就搞定了。」</t>
    </r>
  </si>
  <si>
    <r>
      <rPr>
        <sz val="10"/>
        <rFont val="Arial"/>
        <family val="2"/>
      </rPr>
      <t xml:space="preserve">【發傳單，轉介長照專線】
效果：聲譽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結果：傳單上印著專線號碼，家屬點點頭，但還是有點不確定要打哪一個。</t>
    </r>
  </si>
  <si>
    <r>
      <rPr>
        <sz val="10"/>
        <rFont val="Arial"/>
        <family val="2"/>
      </rPr>
      <t xml:space="preserve">【說這不是我們的事】
效果：聲譽 −</t>
    </r>
    <r>
      <rPr>
        <sz val="10"/>
        <rFont val="Arial"/>
        <family val="0"/>
        <charset val="1"/>
      </rPr>
      <t xml:space="preserve">2
</t>
    </r>
    <r>
      <rPr>
        <sz val="10"/>
        <rFont val="Arial"/>
        <family val="2"/>
      </rPr>
      <t xml:space="preserve">結果：家屬說：「那你們是做什麼的？」這句話在候診室裡迴盪了很久。</t>
    </r>
  </si>
  <si>
    <t xml:space="preserve">caregiver_translation</t>
  </si>
  <si>
    <t xml:space="preserve">看護代聽，回家變不同版本</t>
  </si>
  <si>
    <t xml:space="preserve">阿嬤說「醫生說要做運動」，看護聽成「醫生說要睡覺」，阿嬤很滿意。</t>
  </si>
  <si>
    <r>
      <rPr>
        <sz val="10"/>
        <rFont val="Arial"/>
        <family val="2"/>
      </rPr>
      <t xml:space="preserve">【製作圖卡與簡單的多語影片】
效果：資金 −</t>
    </r>
    <r>
      <rPr>
        <sz val="10"/>
        <rFont val="Arial"/>
        <family val="0"/>
        <charset val="1"/>
      </rPr>
      <t xml:space="preserve">NT$ 15,000</t>
    </r>
    <r>
      <rPr>
        <sz val="10"/>
        <rFont val="Arial"/>
        <family val="2"/>
      </rPr>
      <t xml:space="preserve">、「圖卡與多語影片」加成，持續 </t>
    </r>
    <r>
      <rPr>
        <sz val="10"/>
        <rFont val="Arial"/>
        <family val="0"/>
        <charset val="1"/>
      </rPr>
      <t xml:space="preserve">104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年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個月）：長輩滿意度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結果：圖卡上畫著小人在做動作，看護看懂了，阿嬤也終於知道醫生的意思。</t>
    </r>
  </si>
  <si>
    <r>
      <rPr>
        <sz val="10"/>
        <rFont val="Arial"/>
        <family val="2"/>
      </rPr>
      <t xml:space="preserve">【請家屬一起來聽】
效果：聲譽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結果：家屬來了，聽得很認真，只是阿嬤覺得自己被當成小孩，臉色有點難看。</t>
    </r>
  </si>
  <si>
    <r>
      <rPr>
        <sz val="10"/>
        <rFont val="Arial"/>
        <family val="2"/>
      </rPr>
      <t xml:space="preserve">【找志工翻譯】
效果：資金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）
結果：志工陪著翻譯，阿嬤聽完說：「原來是要動一動啊。」</t>
    </r>
  </si>
  <si>
    <r>
      <rPr>
        <sz val="10"/>
        <rFont val="Arial"/>
        <family val="2"/>
      </rPr>
      <t xml:space="preserve">擴充（</t>
    </r>
    <r>
      <rPr>
        <sz val="10"/>
        <rFont val="Arial"/>
        <family val="0"/>
        <charset val="1"/>
      </rPr>
      <t xml:space="preserve">events_ext2.js</t>
    </r>
    <r>
      <rPr>
        <sz val="10"/>
        <rFont val="Arial"/>
        <family val="2"/>
      </rPr>
      <t xml:space="preserve">）</t>
    </r>
  </si>
  <si>
    <t xml:space="preserve">tens_flaky</t>
  </si>
  <si>
    <t xml:space="preserve">電療儀輸出忽大忽小</t>
  </si>
  <si>
    <r>
      <rPr>
        <sz val="10"/>
        <rFont val="Arial"/>
        <family val="2"/>
      </rPr>
      <t xml:space="preserve">電療儀耗損 ≥ </t>
    </r>
    <r>
      <rPr>
        <sz val="10"/>
        <rFont val="Arial"/>
        <family val="0"/>
        <charset val="1"/>
      </rPr>
      <t xml:space="preserve">70</t>
    </r>
  </si>
  <si>
    <t xml:space="preserve">電療儀「滴」了一聲，數字自己跳。護理師：「它今天心情不好。」</t>
  </si>
  <si>
    <r>
      <rPr>
        <sz val="10"/>
        <rFont val="Arial"/>
        <family val="2"/>
      </rPr>
      <t xml:space="preserve">【叫師傅來修】（需有資金 </t>
    </r>
    <r>
      <rPr>
        <sz val="10"/>
        <rFont val="Arial"/>
        <family val="0"/>
        <charset val="1"/>
      </rPr>
      <t xml:space="preserve">NT$ 40,000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、電療儀送修：耗損歸零並排除故障
結果：師傅拆開外殼摸了摸，說這台已經很久沒休息了，修好後乖得像新的。</t>
    </r>
  </si>
  <si>
    <r>
      <rPr>
        <sz val="10"/>
        <rFont val="Arial"/>
        <family val="2"/>
      </rPr>
      <t xml:space="preserve">【自己換電極與線材】（擲骰，成功機率 </t>
    </r>
    <r>
      <rPr>
        <sz val="10"/>
        <rFont val="Arial"/>
        <family val="0"/>
        <charset val="1"/>
      </rPr>
      <t xml:space="preserve">70%</t>
    </r>
    <r>
      <rPr>
        <sz val="10"/>
        <rFont val="Arial"/>
        <family val="2"/>
      </rPr>
      <t xml:space="preserve">）
成功：資金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、電療儀送修：耗損歸零並排除故障
　結果：電極換新，儀器安靜了好一陣子。
失敗：資金 −</t>
    </r>
    <r>
      <rPr>
        <sz val="10"/>
        <rFont val="Arial"/>
        <family val="0"/>
        <charset val="1"/>
      </rPr>
      <t xml:space="preserve">NT$ 5,000</t>
    </r>
    <r>
      <rPr>
        <sz val="10"/>
        <rFont val="Arial"/>
        <family val="2"/>
      </rPr>
      <t xml:space="preserve">、電療儀送修：耗損歸零並排除故障、一台電療儀故障（需到〈設備維護〉叫修）
　結果：才用了兩天，它又開始忽大忽小，這次直接罷工。</t>
    </r>
  </si>
  <si>
    <r>
      <rPr>
        <sz val="10"/>
        <rFont val="Arial"/>
        <family val="2"/>
      </rPr>
      <t xml:space="preserve">【繼續用，還能動就好】
效果：全診所病患滿意度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）、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週後有 </t>
    </r>
    <r>
      <rPr>
        <sz val="10"/>
        <rFont val="Arial"/>
        <family val="0"/>
        <charset val="1"/>
      </rPr>
      <t xml:space="preserve">10% </t>
    </r>
    <r>
      <rPr>
        <sz val="10"/>
        <rFont val="Arial"/>
        <family val="2"/>
      </rPr>
      <t xml:space="preserve">機率觸發連鎖事件「電療貼片與心律調節器」
結果：阿伯抱怨了兩句，電流在他背上跳得很有節奏，他說這叫「有感」。</t>
    </r>
  </si>
  <si>
    <r>
      <rPr>
        <sz val="10"/>
        <rFont val="Arial"/>
        <family val="2"/>
      </rPr>
      <t xml:space="preserve">選項效果：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週後有 </t>
    </r>
    <r>
      <rPr>
        <sz val="10"/>
        <rFont val="Arial"/>
        <family val="0"/>
        <charset val="1"/>
      </rPr>
      <t xml:space="preserve">10% </t>
    </r>
    <r>
      <rPr>
        <sz val="10"/>
        <rFont val="Arial"/>
        <family val="2"/>
      </rPr>
      <t xml:space="preserve">機率觸發連鎖事件「電療貼片與心律調節器」</t>
    </r>
  </si>
  <si>
    <t xml:space="preserve">us_calibration</t>
  </si>
  <si>
    <t xml:space="preserve">超音波治療儀年度校正</t>
  </si>
  <si>
    <t xml:space="preserve">有超音波檢查室</t>
  </si>
  <si>
    <t xml:space="preserve">廠商提醒：「去年校正的功率，今年要確認一下喔。」</t>
  </si>
  <si>
    <r>
      <rPr>
        <sz val="10"/>
        <rFont val="Arial"/>
        <family val="2"/>
      </rPr>
      <t xml:space="preserve">【送去校正】（需有資金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us_calibrated</t>
    </r>
    <r>
      <rPr>
        <sz val="10"/>
        <rFont val="Arial"/>
        <family val="2"/>
      </rPr>
      <t xml:space="preserve">」、超音波檢查室送修：耗損歸零並排除故障
結果：校正單上蓋滿了章，功率跟說明書一樣準，連檢查員都點頭。</t>
    </r>
  </si>
  <si>
    <r>
      <rPr>
        <sz val="10"/>
        <rFont val="Arial"/>
        <family val="2"/>
      </rPr>
      <t xml:space="preserve">【延後，先用著】
效果：設定旗標「</t>
    </r>
    <r>
      <rPr>
        <sz val="10"/>
        <rFont val="Arial"/>
        <family val="0"/>
        <charset val="1"/>
      </rPr>
      <t xml:space="preserve">us_calib_overdue</t>
    </r>
    <r>
      <rPr>
        <sz val="10"/>
        <rFont val="Arial"/>
        <family val="2"/>
      </rPr>
      <t xml:space="preserve">」、超音波檢查室耗損 </t>
    </r>
    <r>
      <rPr>
        <sz val="10"/>
        <rFont val="Arial"/>
        <family val="0"/>
        <charset val="1"/>
      </rPr>
      <t xml:space="preserve">+10
</t>
    </r>
    <r>
      <rPr>
        <sz val="10"/>
        <rFont val="Arial"/>
        <family val="2"/>
      </rPr>
      <t xml:space="preserve">結果：校正單放進抽屜，抽屜裡已經有三張了。</t>
    </r>
  </si>
  <si>
    <r>
      <rPr>
        <sz val="10"/>
        <rFont val="Arial"/>
        <family val="2"/>
      </rPr>
      <t xml:space="preserve">【乾脆換新機】（需有資金 </t>
    </r>
    <r>
      <rPr>
        <sz val="10"/>
        <rFont val="Arial"/>
        <family val="0"/>
        <charset val="1"/>
      </rPr>
      <t xml:space="preserve">NT$ 480,000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NT$ 480,000</t>
    </r>
    <r>
      <rPr>
        <sz val="10"/>
        <rFont val="Arial"/>
        <family val="2"/>
      </rPr>
      <t xml:space="preserve">、儀器點數 </t>
    </r>
    <r>
      <rPr>
        <sz val="10"/>
        <rFont val="Arial"/>
        <family val="0"/>
        <charset val="1"/>
      </rPr>
      <t xml:space="preserve">+20</t>
    </r>
    <r>
      <rPr>
        <sz val="10"/>
        <rFont val="Arial"/>
        <family val="2"/>
      </rPr>
      <t xml:space="preserve">、超音波檢查室送修：耗損歸零並排除故障
結果：舊機器被搬走，新機器的螢幕亮得像在炫耀。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</si>
  <si>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us_calibrated</t>
    </r>
    <r>
      <rPr>
        <sz val="10"/>
        <rFont val="Arial"/>
        <family val="2"/>
      </rPr>
      <t xml:space="preserve">」；設定旗標「</t>
    </r>
    <r>
      <rPr>
        <sz val="10"/>
        <rFont val="Arial"/>
        <family val="0"/>
        <charset val="1"/>
      </rPr>
      <t xml:space="preserve">us_calib_overdue</t>
    </r>
    <r>
      <rPr>
        <sz val="10"/>
        <rFont val="Arial"/>
        <family val="2"/>
      </rPr>
      <t xml:space="preserve">」</t>
    </r>
  </si>
  <si>
    <t xml:space="preserve">heatbox_thermostat</t>
  </si>
  <si>
    <t xml:space="preserve">熱敷包恆溫器失靈</t>
  </si>
  <si>
    <r>
      <rPr>
        <sz val="10"/>
        <rFont val="Arial"/>
        <family val="2"/>
      </rPr>
      <t xml:space="preserve">熱敷箱耗損 ≥ </t>
    </r>
    <r>
      <rPr>
        <sz val="10"/>
        <rFont val="Arial"/>
        <family val="0"/>
        <charset val="1"/>
      </rPr>
      <t xml:space="preserve">60</t>
    </r>
  </si>
  <si>
    <t xml:space="preserve">熱敷箱溫度跑到「麻辣鍋」等級，護理師用手背試了一下，立刻縮手。</t>
  </si>
  <si>
    <r>
      <rPr>
        <sz val="10"/>
        <rFont val="Arial"/>
        <family val="2"/>
      </rPr>
      <t xml:space="preserve">【立刻停用，換恆溫器】（需有資金 </t>
    </r>
    <r>
      <rPr>
        <sz val="10"/>
        <rFont val="Arial"/>
        <family val="0"/>
        <charset val="1"/>
      </rPr>
      <t xml:space="preserve">NT$ 30,000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、熱敷箱送修：耗損歸零並排除故障
結果：新恆溫器一裝，熱敷箱又變回溫吞的好脾氣。</t>
    </r>
  </si>
  <si>
    <r>
      <rPr>
        <sz val="10"/>
        <rFont val="Arial"/>
        <family val="2"/>
      </rPr>
      <t xml:space="preserve">【調低設定值先用】
效果：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週後有 </t>
    </r>
    <r>
      <rPr>
        <sz val="10"/>
        <rFont val="Arial"/>
        <family val="0"/>
        <charset val="1"/>
      </rPr>
      <t xml:space="preserve">20% </t>
    </r>
    <r>
      <rPr>
        <sz val="10"/>
        <rFont val="Arial"/>
        <family val="2"/>
      </rPr>
      <t xml:space="preserve">機率觸發連鎖事件「紅外線燈燙傷」
結果：溫度是降下來了，只是沒人保證病人的皮膚跟護理師的手背一樣耐燙。</t>
    </r>
  </si>
  <si>
    <r>
      <rPr>
        <sz val="10"/>
        <rFont val="Arial"/>
        <family val="2"/>
      </rPr>
      <t xml:space="preserve">【放著不管】
效果：聲譽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結果：熱敷箱繼續發燙，病人的意見也繼續發燙。</t>
    </r>
  </si>
  <si>
    <r>
      <rPr>
        <sz val="10"/>
        <rFont val="Arial"/>
        <family val="2"/>
      </rPr>
      <t xml:space="preserve">選項效果：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週後有 </t>
    </r>
    <r>
      <rPr>
        <sz val="10"/>
        <rFont val="Arial"/>
        <family val="0"/>
        <charset val="1"/>
      </rPr>
      <t xml:space="preserve">20% </t>
    </r>
    <r>
      <rPr>
        <sz val="10"/>
        <rFont val="Arial"/>
        <family val="2"/>
      </rPr>
      <t xml:space="preserve">機率觸發連鎖事件「紅外線燈燙傷」</t>
    </r>
  </si>
  <si>
    <t xml:space="preserve">traction_noise</t>
  </si>
  <si>
    <t xml:space="preserve">牽引機馬達異音</t>
  </si>
  <si>
    <r>
      <rPr>
        <sz val="10"/>
        <rFont val="Arial"/>
        <family val="2"/>
      </rPr>
      <t xml:space="preserve">頸腰椎牽引機耗損 ≥ </t>
    </r>
    <r>
      <rPr>
        <sz val="10"/>
        <rFont val="Arial"/>
        <family val="0"/>
        <charset val="1"/>
      </rPr>
      <t xml:space="preserve">60</t>
    </r>
  </si>
  <si>
    <t xml:space="preserve">牽引機每拉一次就「嘎——」一聲，病人說：「這聲音我也想叫。」</t>
  </si>
  <si>
    <r>
      <rPr>
        <sz val="10"/>
        <rFont val="Arial"/>
        <family val="2"/>
      </rPr>
      <t xml:space="preserve">【簽年度保養合約】（需有資金 </t>
    </r>
    <r>
      <rPr>
        <sz val="10"/>
        <rFont val="Arial"/>
        <family val="0"/>
        <charset val="1"/>
      </rPr>
      <t xml:space="preserve">NT$ 30,000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、簽下保養合約 </t>
    </r>
    <r>
      <rPr>
        <sz val="10"/>
        <rFont val="Arial"/>
        <family val="0"/>
        <charset val="1"/>
      </rPr>
      <t xml:space="preserve">52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年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個月）：設備耗損速度減半
結果：業務留下合約與一張保養表，馬達的聲音慢慢變成安靜的嗡嗡。</t>
    </r>
  </si>
  <si>
    <r>
      <rPr>
        <sz val="10"/>
        <rFont val="Arial"/>
        <family val="2"/>
      </rPr>
      <t xml:space="preserve">【臨時叫修】（需有資金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、頸腰椎牽引機送修：耗損歸零並排除故障
結果：師傅來了，上了點油，嘎聲就像被關進小房間。</t>
    </r>
  </si>
  <si>
    <r>
      <rPr>
        <sz val="10"/>
        <rFont val="Arial"/>
        <family val="2"/>
      </rPr>
      <t xml:space="preserve">【不理會】（擲骰，成功機率 </t>
    </r>
    <r>
      <rPr>
        <sz val="10"/>
        <rFont val="Arial"/>
        <family val="0"/>
        <charset val="1"/>
      </rPr>
      <t xml:space="preserve">60%</t>
    </r>
    <r>
      <rPr>
        <sz val="10"/>
        <rFont val="Arial"/>
        <family val="2"/>
      </rPr>
      <t xml:space="preserve">）
成功：全診所病患滿意度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　結果：嘎聲持續，病人也持續忍耐，還好機器撐得住。
失敗：全診所病患滿意度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）、一台頸腰椎牽引機故障（需到〈設備維護〉叫修）
　結果：最後一拉，嘎——然後整台靜止，病人終於也不想叫了。</t>
    </r>
  </si>
  <si>
    <t xml:space="preserve">card_reader_down</t>
  </si>
  <si>
    <t xml:space="preserve">讀卡機與雲端模組異常</t>
  </si>
  <si>
    <t xml:space="preserve">健保卡一插進去螢幕轉圈圈，阿伯的血壓跟著轉圈圈。</t>
  </si>
  <si>
    <r>
      <rPr>
        <sz val="10"/>
        <rFont val="Arial"/>
        <family val="2"/>
      </rPr>
      <t xml:space="preserve">【先看診，事後補卡登錄】
效果：全診所病患滿意度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+2.5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）、櫃檯護理師</t>
    </r>
    <r>
      <rPr>
        <sz val="10"/>
        <rFont val="Arial"/>
        <family val="0"/>
        <charset val="1"/>
      </rPr>
      <t xml:space="preserve">/</t>
    </r>
    <r>
      <rPr>
        <sz val="10"/>
        <rFont val="Arial"/>
        <family val="2"/>
      </rPr>
      <t xml:space="preserve">行政體力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結果：病人先被照顧好，櫃檯晚上加班補登，臉上寫著「我沒事」。</t>
    </r>
  </si>
  <si>
    <r>
      <rPr>
        <sz val="10"/>
        <rFont val="Arial"/>
        <family val="2"/>
      </rPr>
      <t xml:space="preserve">【先收自費，事後退費】（需有資金 </t>
    </r>
    <r>
      <rPr>
        <sz val="10"/>
        <rFont val="Arial"/>
        <family val="0"/>
        <charset val="1"/>
      </rPr>
      <t xml:space="preserve">NT$ 10,000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結果：先收後退，來回跑了好幾趟銀行，行政阿姨的腳底板很有感想。</t>
    </r>
  </si>
  <si>
    <r>
      <rPr>
        <sz val="10"/>
        <rFont val="Arial"/>
        <family val="2"/>
      </rPr>
      <t xml:space="preserve">【請病人改天再來】
效果：聲譽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）
結果：病人嘆了口氣，帶著血壓與怨氣一起回家。</t>
    </r>
  </si>
  <si>
    <t xml:space="preserve">pt_resign</t>
  </si>
  <si>
    <t xml:space="preserve">治療師遞出辭呈</t>
  </si>
  <si>
    <r>
      <rPr>
        <sz val="10"/>
        <rFont val="Arial"/>
        <family val="2"/>
      </rPr>
      <t xml:space="preserve">聘有物理治療師（至少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位），且任一員工士氣 </t>
    </r>
    <r>
      <rPr>
        <sz val="10"/>
        <rFont val="Arial"/>
        <family val="0"/>
        <charset val="1"/>
      </rPr>
      <t xml:space="preserve">&lt; 40</t>
    </r>
  </si>
  <si>
    <t xml:space="preserve">小林治療師把辭呈放在排班表上：「我想去睡到自然醒。」</t>
  </si>
  <si>
    <r>
      <rPr>
        <sz val="10"/>
        <rFont val="Arial"/>
        <family val="2"/>
      </rPr>
      <t xml:space="preserve">【談加薪，順便調排班】（需有資金 </t>
    </r>
    <r>
      <rPr>
        <sz val="10"/>
        <rFont val="Arial"/>
        <family val="0"/>
        <charset val="1"/>
      </rPr>
      <t xml:space="preserve">NT$ 60,000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、物理治療師士氣 </t>
    </r>
    <r>
      <rPr>
        <sz val="10"/>
        <rFont val="Arial"/>
        <family val="0"/>
        <charset val="1"/>
      </rPr>
      <t xml:space="preserve">+10
</t>
    </r>
    <r>
      <rPr>
        <sz val="10"/>
        <rFont val="Arial"/>
        <family val="2"/>
      </rPr>
      <t xml:space="preserve">結果：加薪與新班表都談妥，小林把辭呈收回去，說要再睡一個月。</t>
    </r>
  </si>
  <si>
    <r>
      <rPr>
        <sz val="10"/>
        <rFont val="Arial"/>
        <family val="2"/>
      </rPr>
      <t xml:space="preserve">【放行，公開徵才】
效果：聲譽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、物理治療師離職一人（機率 </t>
    </r>
    <r>
      <rPr>
        <sz val="10"/>
        <rFont val="Arial"/>
        <family val="0"/>
        <charset val="1"/>
      </rPr>
      <t xml:space="preserve">100%</t>
    </r>
    <r>
      <rPr>
        <sz val="10"/>
        <rFont val="Arial"/>
        <family val="2"/>
      </rPr>
      <t xml:space="preserve">；只剩一位時改為該職類士氣 −</t>
    </r>
    <r>
      <rPr>
        <sz val="10"/>
        <rFont val="Arial"/>
        <family val="0"/>
        <charset val="1"/>
      </rPr>
      <t xml:space="preserve">15</t>
    </r>
    <r>
      <rPr>
        <sz val="10"/>
        <rFont val="Arial"/>
        <family val="2"/>
      </rPr>
      <t xml:space="preserve">）
結果：辭呈照批，職缺貼上了網站，同仁開始輪流幫忙排班。</t>
    </r>
  </si>
  <si>
    <r>
      <rPr>
        <sz val="10"/>
        <rFont val="Arial"/>
        <family val="2"/>
      </rPr>
      <t xml:space="preserve">【找派遣補位】（需有資金 </t>
    </r>
    <r>
      <rPr>
        <sz val="10"/>
        <rFont val="Arial"/>
        <family val="0"/>
        <charset val="1"/>
      </rPr>
      <t xml:space="preserve">NT$ 90,000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NT$ 90,000
</t>
    </r>
    <r>
      <rPr>
        <sz val="10"/>
        <rFont val="Arial"/>
        <family val="2"/>
      </rPr>
      <t xml:space="preserve">結果：派遣治療師來報到，薪水比小林高，但沒人敢問他睡得好不好。</t>
    </r>
  </si>
  <si>
    <t xml:space="preserve">license_renew</t>
  </si>
  <si>
    <t xml:space="preserve">執業登記與繼續教育積分</t>
  </si>
  <si>
    <r>
      <rPr>
        <sz val="10"/>
        <rFont val="Arial"/>
        <family val="0"/>
        <charset val="1"/>
      </rPr>
      <t xml:space="preserve">11–12 </t>
    </r>
    <r>
      <rPr>
        <sz val="10"/>
        <rFont val="Arial"/>
        <family val="2"/>
      </rPr>
      <t xml:space="preserve">月</t>
    </r>
  </si>
  <si>
    <r>
      <rPr>
        <sz val="10"/>
        <rFont val="Arial"/>
        <family val="2"/>
      </rPr>
      <t xml:space="preserve">護理師發現自己積分剩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點，整個晚上在找哪個線上課程不用簽到。</t>
    </r>
  </si>
  <si>
    <r>
      <rPr>
        <sz val="10"/>
        <rFont val="Arial"/>
        <family val="2"/>
      </rPr>
      <t xml:space="preserve">【補助上課與請假】（需有資金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、全體員工士氣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結果：同仁各自找到課程，積分回來了，人也比較有精神。</t>
    </r>
  </si>
  <si>
    <r>
      <rPr>
        <sz val="10"/>
        <rFont val="Arial"/>
        <family val="2"/>
      </rPr>
      <t xml:space="preserve">【自己想辦法】
效果：全體員工士氣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結果：大家在下班後的走廊上，互相傳授哪一門課不用簽到。</t>
    </r>
  </si>
  <si>
    <r>
      <rPr>
        <sz val="10"/>
        <rFont val="Arial"/>
        <family val="2"/>
      </rPr>
      <t xml:space="preserve">【拖著，年底再說】
效果：設定旗標「</t>
    </r>
    <r>
      <rPr>
        <sz val="10"/>
        <rFont val="Arial"/>
        <family val="0"/>
        <charset val="1"/>
      </rPr>
      <t xml:space="preserve">license_overdue</t>
    </r>
    <r>
      <rPr>
        <sz val="10"/>
        <rFont val="Arial"/>
        <family val="2"/>
      </rPr>
      <t xml:space="preserve">」
結果：積分還差一點點，檢查名單上多了一個名字。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</si>
  <si>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license_overdue</t>
    </r>
    <r>
      <rPr>
        <sz val="10"/>
        <rFont val="Arial"/>
        <family val="2"/>
      </rPr>
      <t xml:space="preserve">」</t>
    </r>
  </si>
  <si>
    <t xml:space="preserve">overtime_crunch</t>
  </si>
  <si>
    <t xml:space="preserve">連假前後人力不足</t>
  </si>
  <si>
    <t xml:space="preserve">連假前一天，排班表有三個人的名字，現場需要五個人。</t>
  </si>
  <si>
    <r>
      <rPr>
        <sz val="10"/>
        <rFont val="Arial"/>
        <family val="2"/>
      </rPr>
      <t xml:space="preserve">【發加班費】（需有資金 </t>
    </r>
    <r>
      <rPr>
        <sz val="10"/>
        <rFont val="Arial"/>
        <family val="0"/>
        <charset val="1"/>
      </rPr>
      <t xml:space="preserve">NT$ 60,000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、全體員工士氣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結果：加班費發下去，大家嘴上說辛苦，手上的紅包比較用力。</t>
    </r>
  </si>
  <si>
    <r>
      <rPr>
        <sz val="10"/>
        <rFont val="Arial"/>
        <family val="2"/>
      </rPr>
      <t xml:space="preserve">【補休，下週少開診】
效果：「補休少開診」加成，持續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週：來客量 −</t>
    </r>
    <r>
      <rPr>
        <sz val="10"/>
        <rFont val="Arial"/>
        <family val="0"/>
        <charset val="1"/>
      </rPr>
      <t xml:space="preserve">15%</t>
    </r>
    <r>
      <rPr>
        <sz val="10"/>
        <rFont val="Arial"/>
        <family val="2"/>
      </rPr>
      <t xml:space="preserve">、全體員工士氣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結果：下週掛號系統變得安靜，同仁終於能去吃一頓正常的午餐。</t>
    </r>
  </si>
  <si>
    <r>
      <rPr>
        <sz val="10"/>
        <rFont val="Arial"/>
        <family val="2"/>
      </rPr>
      <t xml:space="preserve">【硬撐】
效果：全體員工體力 −</t>
    </r>
    <r>
      <rPr>
        <sz val="10"/>
        <rFont val="Arial"/>
        <family val="0"/>
        <charset val="1"/>
      </rPr>
      <t xml:space="preserve">20</t>
    </r>
    <r>
      <rPr>
        <sz val="10"/>
        <rFont val="Arial"/>
        <family val="2"/>
      </rPr>
      <t xml:space="preserve">、全體員工士氣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結果：連假前的那一週大家撐到最後，只剩下眼神還在上班。</t>
    </r>
  </si>
  <si>
    <t xml:space="preserve">rent_hike</t>
  </si>
  <si>
    <t xml:space="preserve">房東通知續約調漲</t>
  </si>
  <si>
    <t xml:space="preserve">房東說：「最近物價漲，我也沒辦法。」語氣像漲價的是天氣。</t>
  </si>
  <si>
    <r>
      <rPr>
        <sz val="10"/>
        <rFont val="Arial"/>
        <family val="2"/>
      </rPr>
      <t xml:space="preserve">【接受調漲】
效果：「房租調漲」加成，持續 </t>
    </r>
    <r>
      <rPr>
        <sz val="10"/>
        <rFont val="Arial"/>
        <family val="0"/>
        <charset val="1"/>
      </rPr>
      <t xml:space="preserve">520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10 </t>
    </r>
    <r>
      <rPr>
        <sz val="10"/>
        <rFont val="Arial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Arial"/>
        <family val="2"/>
      </rPr>
      <t xml:space="preserve">個月）：房租 </t>
    </r>
    <r>
      <rPr>
        <sz val="10"/>
        <rFont val="Arial"/>
        <family val="0"/>
        <charset val="1"/>
      </rPr>
      <t xml:space="preserve">+10%
</t>
    </r>
    <r>
      <rPr>
        <sz val="10"/>
        <rFont val="Arial"/>
        <family val="2"/>
      </rPr>
      <t xml:space="preserve">結果：租金單上的數字又往上長了一截，大家都說習慣就好。</t>
    </r>
  </si>
  <si>
    <r>
      <rPr>
        <sz val="10"/>
        <rFont val="Arial"/>
        <family val="2"/>
      </rPr>
      <t xml:space="preserve">【談判，簽三年約】（需有資金 </t>
    </r>
    <r>
      <rPr>
        <sz val="10"/>
        <rFont val="Arial"/>
        <family val="0"/>
        <charset val="1"/>
      </rPr>
      <t xml:space="preserve">NT$ 120,000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NT$ 120,000</t>
    </r>
    <r>
      <rPr>
        <sz val="10"/>
        <rFont val="Arial"/>
        <family val="2"/>
      </rPr>
      <t xml:space="preserve">、「三年租約」加成，持續 </t>
    </r>
    <r>
      <rPr>
        <sz val="10"/>
        <rFont val="Arial"/>
        <family val="0"/>
        <charset val="1"/>
      </rPr>
      <t xml:space="preserve">156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年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個月）：房租 </t>
    </r>
    <r>
      <rPr>
        <sz val="10"/>
        <rFont val="Arial"/>
        <family val="0"/>
        <charset val="1"/>
      </rPr>
      <t xml:space="preserve">+3%
</t>
    </r>
    <r>
      <rPr>
        <sz val="10"/>
        <rFont val="Arial"/>
        <family val="2"/>
      </rPr>
      <t xml:space="preserve">結果：房東同意簽三年，調幅縮小了，但律師費也跟著一起來了。</t>
    </r>
  </si>
  <si>
    <r>
      <rPr>
        <sz val="10"/>
        <rFont val="Arial"/>
        <family val="2"/>
      </rPr>
      <t xml:space="preserve">【搬遷（大工程）】（需有資金 </t>
    </r>
    <r>
      <rPr>
        <sz val="10"/>
        <rFont val="Arial"/>
        <family val="0"/>
        <charset val="1"/>
      </rPr>
      <t xml:space="preserve">NT$ 300,000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結果：搬家公司把機器搬上車，新場地還在找，病人先去隔壁等。</t>
    </r>
  </si>
  <si>
    <t xml:space="preserve">infection_control_audit</t>
  </si>
  <si>
    <t xml:space="preserve">衛生局無預警督導</t>
  </si>
  <si>
    <t xml:space="preserve">兩位穿制服的人突然出現：「請問你們的洗手液放哪裡？」櫃檯：「在……在那裡！」</t>
  </si>
  <si>
    <r>
      <rPr>
        <sz val="10"/>
        <rFont val="Arial"/>
        <family val="2"/>
      </rPr>
      <t xml:space="preserve">【立即整改，做自評表】（需有資金 </t>
    </r>
    <r>
      <rPr>
        <sz val="10"/>
        <rFont val="Arial"/>
        <family val="0"/>
        <charset val="1"/>
      </rPr>
      <t xml:space="preserve">NT$ 40,000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infection_control_good</t>
    </r>
    <r>
      <rPr>
        <sz val="10"/>
        <rFont val="Arial"/>
        <family val="2"/>
      </rPr>
      <t xml:space="preserve">」
結果：洗手液找到了正式的位置，自評表也印得整整齊齊。</t>
    </r>
  </si>
  <si>
    <r>
      <rPr>
        <sz val="10"/>
        <rFont val="Arial"/>
        <family val="2"/>
      </rPr>
      <t xml:space="preserve">【依缺失限期改善】（需有資金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
</t>
    </r>
    <r>
      <rPr>
        <sz val="10"/>
        <rFont val="Arial"/>
        <family val="2"/>
      </rPr>
      <t xml:space="preserve">結果：缺失單上寫了七天，診所用六天半完成，剩下半天拿來喝水。</t>
    </r>
  </si>
  <si>
    <r>
      <rPr>
        <sz val="10"/>
        <rFont val="Arial"/>
        <family val="2"/>
      </rPr>
      <t xml:space="preserve">【辯解】（需有資金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6
</t>
    </r>
    <r>
      <rPr>
        <sz val="10"/>
        <rFont val="Arial"/>
        <family val="2"/>
      </rPr>
      <t xml:space="preserve">結果：辯解沒有用，罰鍰單寄到櫃檯，櫃檯小姐看著單子不說話。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</si>
  <si>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infection_control_good</t>
    </r>
    <r>
      <rPr>
        <sz val="10"/>
        <rFont val="Arial"/>
        <family val="2"/>
      </rPr>
      <t xml:space="preserve">」</t>
    </r>
  </si>
  <si>
    <t xml:space="preserve">fire_safety_check</t>
  </si>
  <si>
    <t xml:space="preserve">消防安檢</t>
  </si>
  <si>
    <t xml:space="preserve">店面至少為「地區復健中心」</t>
  </si>
  <si>
    <t xml:space="preserve">消防員指著走道上的輪椅與輔具：「這裡是逃生路線，請問為什麼有一隊輪椅？」</t>
  </si>
  <si>
    <r>
      <rPr>
        <sz val="10"/>
        <rFont val="Arial"/>
        <family val="2"/>
      </rPr>
      <t xml:space="preserve">【整理走道，補滅火器】（需有資金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結果：輪椅排成整齊的一列，滅火器也有了固定的位置，消防員點點頭。</t>
    </r>
  </si>
  <si>
    <r>
      <rPr>
        <sz val="10"/>
        <rFont val="Arial"/>
        <family val="2"/>
      </rPr>
      <t xml:space="preserve">【只把輪椅移到角落】（需有資金 </t>
    </r>
    <r>
      <rPr>
        <sz val="10"/>
        <rFont val="Arial"/>
        <family val="0"/>
        <charset val="1"/>
      </rPr>
      <t xml:space="preserve">NT$ 10,000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fire_route_hidden</t>
    </r>
    <r>
      <rPr>
        <sz val="10"/>
        <rFont val="Arial"/>
        <family val="2"/>
      </rPr>
      <t xml:space="preserve">」
結果：輪椅搬到角落，走道看起來寬敞了，有些問題先安靜地待著。</t>
    </r>
  </si>
  <si>
    <r>
      <rPr>
        <sz val="10"/>
        <rFont val="Arial"/>
        <family val="2"/>
      </rPr>
      <t xml:space="preserve">【看看再說】（需有資金 </t>
    </r>
    <r>
      <rPr>
        <sz val="10"/>
        <rFont val="Arial"/>
        <family val="0"/>
        <charset val="1"/>
      </rPr>
      <t xml:space="preserve">NT$ 150,000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NT$ 150,000
</t>
    </r>
    <r>
      <rPr>
        <sz val="10"/>
        <rFont val="Arial"/>
        <family val="2"/>
      </rPr>
      <t xml:space="preserve">結果：消防員看了三分鐘，留下一張罰單與一句「下次注意」。</t>
    </r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</si>
  <si>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fire_route_hidden</t>
    </r>
    <r>
      <rPr>
        <sz val="10"/>
        <rFont val="Arial"/>
        <family val="2"/>
      </rPr>
      <t xml:space="preserve">」</t>
    </r>
  </si>
  <si>
    <t xml:space="preserve">record_request</t>
  </si>
  <si>
    <t xml:space="preserve">家屬要複製病歷</t>
  </si>
  <si>
    <t xml:space="preserve">家屬一次要求過去三年的病歷，附帶一句：「我只是看看。」</t>
  </si>
  <si>
    <r>
      <rPr>
        <sz val="10"/>
        <rFont val="Arial"/>
        <family val="2"/>
      </rPr>
      <t xml:space="preserve">【當日提供，依規定收工本費】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）
結果：病歷一份份影印完成，家屬說：「原來你們效率這麼好。」</t>
    </r>
  </si>
  <si>
    <r>
      <rPr>
        <sz val="10"/>
        <rFont val="Arial"/>
        <family val="2"/>
      </rPr>
      <t xml:space="preserve">【核對身分與授權，需一兩天】
效果：聲譽 </t>
    </r>
    <r>
      <rPr>
        <sz val="10"/>
        <rFont val="Arial"/>
        <family val="0"/>
        <charset val="1"/>
      </rPr>
      <t xml:space="preserve">+1</t>
    </r>
    <r>
      <rPr>
        <sz val="10"/>
        <rFont val="Arial"/>
        <family val="2"/>
      </rPr>
      <t xml:space="preserve">、全診所病患滿意度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結果：身分證與授權書都對上了，家屬等得有點不耐煩，但規矩是規矩。</t>
    </r>
  </si>
  <si>
    <r>
      <rPr>
        <sz val="10"/>
        <rFont val="Arial"/>
        <family val="2"/>
      </rPr>
      <t xml:space="preserve">【拒絕】（擲骰，成功機率 </t>
    </r>
    <r>
      <rPr>
        <sz val="10"/>
        <rFont val="Arial"/>
        <family val="0"/>
        <charset val="1"/>
      </rPr>
      <t xml:space="preserve">80%</t>
    </r>
    <r>
      <rPr>
        <sz val="10"/>
        <rFont val="Arial"/>
        <family val="2"/>
      </rPr>
      <t xml:space="preserve">）
成功：聲譽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　結果：家屬氣呼呼地走了，據說去隔壁問了一樣的問題。
失敗：資金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　結果：沒過幾天，檢舉信寄到了，罰款單上寫著「請說明」。</t>
    </r>
  </si>
  <si>
    <t xml:space="preserve">google_review_war</t>
  </si>
  <si>
    <t xml:space="preserve">一顆星的評論</t>
  </si>
  <si>
    <r>
      <rPr>
        <sz val="10"/>
        <rFont val="Arial"/>
        <family val="2"/>
      </rPr>
      <t xml:space="preserve">聲譽 ≥ </t>
    </r>
    <r>
      <rPr>
        <sz val="10"/>
        <rFont val="Arial"/>
        <family val="0"/>
        <charset val="1"/>
      </rPr>
      <t xml:space="preserve">20</t>
    </r>
  </si>
  <si>
    <t xml:space="preserve">有人留言：「治療三分鐘，等了兩小時。」下面已經有十七個人按讚。</t>
  </si>
  <si>
    <r>
      <rPr>
        <sz val="10"/>
        <rFont val="Arial"/>
        <family val="2"/>
      </rPr>
      <t xml:space="preserve">【禮貌回覆，不透露病情】
效果：聲譽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、網路評價 </t>
    </r>
    <r>
      <rPr>
        <sz val="10"/>
        <rFont val="Arial"/>
        <family val="0"/>
        <charset val="1"/>
      </rPr>
      <t xml:space="preserve">+0.1</t>
    </r>
    <r>
      <rPr>
        <sz val="10"/>
        <rFont val="Arial"/>
        <family val="2"/>
      </rPr>
      <t xml:space="preserve">（範圍 </t>
    </r>
    <r>
      <rPr>
        <sz val="10"/>
        <rFont val="Arial"/>
        <family val="0"/>
        <charset val="1"/>
      </rPr>
      <t xml:space="preserve">1.0–5.0</t>
    </r>
    <r>
      <rPr>
        <sz val="10"/>
        <rFont val="Arial"/>
        <family val="2"/>
      </rPr>
      <t xml:space="preserve">）
結果：回覆寫得客氣又不囉唆，按讚的人多了幾個，還有人補充：「醫生人很好。」</t>
    </r>
  </si>
  <si>
    <r>
      <rPr>
        <sz val="10"/>
        <rFont val="Arial"/>
        <family val="2"/>
      </rPr>
      <t xml:space="preserve">【針鋒相對】
效果：聲譽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、網路評價 −</t>
    </r>
    <r>
      <rPr>
        <sz val="10"/>
        <rFont val="Arial"/>
        <family val="0"/>
        <charset val="1"/>
      </rPr>
      <t xml:space="preserve">0.3</t>
    </r>
    <r>
      <rPr>
        <sz val="10"/>
        <rFont val="Arial"/>
        <family val="2"/>
      </rPr>
      <t xml:space="preserve">（範圍 </t>
    </r>
    <r>
      <rPr>
        <sz val="10"/>
        <rFont val="Arial"/>
        <family val="0"/>
        <charset val="1"/>
      </rPr>
      <t xml:space="preserve">1.0–5.0</t>
    </r>
    <r>
      <rPr>
        <sz val="10"/>
        <rFont val="Arial"/>
        <family val="2"/>
      </rPr>
      <t xml:space="preserve">）
結果：回覆一出，截圖比留言還快，大家開始討論診所的語氣。</t>
    </r>
  </si>
  <si>
    <r>
      <rPr>
        <sz val="10"/>
        <rFont val="Arial"/>
        <family val="2"/>
      </rPr>
      <t xml:space="preserve">【請朋友寫好評】（擲骰，成功機率 </t>
    </r>
    <r>
      <rPr>
        <sz val="10"/>
        <rFont val="Arial"/>
        <family val="0"/>
        <charset val="1"/>
      </rPr>
      <t xml:space="preserve">60%</t>
    </r>
    <r>
      <rPr>
        <sz val="10"/>
        <rFont val="Arial"/>
        <family val="2"/>
      </rPr>
      <t xml:space="preserve">）
成功：聲譽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、網路評價 </t>
    </r>
    <r>
      <rPr>
        <sz val="10"/>
        <rFont val="Arial"/>
        <family val="0"/>
        <charset val="1"/>
      </rPr>
      <t xml:space="preserve">+0.2</t>
    </r>
    <r>
      <rPr>
        <sz val="10"/>
        <rFont val="Arial"/>
        <family val="2"/>
      </rPr>
      <t xml:space="preserve">（範圍 </t>
    </r>
    <r>
      <rPr>
        <sz val="10"/>
        <rFont val="Arial"/>
        <family val="0"/>
        <charset val="1"/>
      </rPr>
      <t xml:space="preserve">1.0–5.0</t>
    </r>
    <r>
      <rPr>
        <sz val="10"/>
        <rFont val="Arial"/>
        <family val="2"/>
      </rPr>
      <t xml:space="preserve">）
　結果：好評一則一則進來，看起來一切正常。
失敗：聲譽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、網路評價 −</t>
    </r>
    <r>
      <rPr>
        <sz val="10"/>
        <rFont val="Arial"/>
        <family val="0"/>
        <charset val="1"/>
      </rPr>
      <t xml:space="preserve">0.2</t>
    </r>
    <r>
      <rPr>
        <sz val="10"/>
        <rFont val="Arial"/>
        <family val="2"/>
      </rPr>
      <t xml:space="preserve">（範圍 </t>
    </r>
    <r>
      <rPr>
        <sz val="10"/>
        <rFont val="Arial"/>
        <family val="0"/>
        <charset val="1"/>
      </rPr>
      <t xml:space="preserve">1.0–5.0</t>
    </r>
    <r>
      <rPr>
        <sz val="10"/>
        <rFont val="Arial"/>
        <family val="2"/>
      </rPr>
      <t xml:space="preserve">）
　結果：有人把好評的帳號截圖貼出來，留言寫著「好評也請人寫？」</t>
    </r>
  </si>
  <si>
    <t xml:space="preserve">video_ad_flag</t>
  </si>
  <si>
    <t xml:space="preserve">衛教影片被檢舉為廣告</t>
  </si>
  <si>
    <t xml:space="preserve">留言區有人寫：「這是廣告吧？」另一個人回：「這是衛教。」他們吵了五十則。</t>
  </si>
  <si>
    <r>
      <rPr>
        <sz val="10"/>
        <rFont val="Arial"/>
        <family val="2"/>
      </rPr>
      <t xml:space="preserve">【改成純衛教，不放診所名稱與價格】
效果：聲譽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結果：影片剪掉了診所名稱與價格，只留下肩頸的運動與一句「多動動」。</t>
    </r>
  </si>
  <si>
    <r>
      <rPr>
        <sz val="10"/>
        <rFont val="Arial"/>
        <family val="2"/>
      </rPr>
      <t xml:space="preserve">【繼續發】（需有資金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結果：罰單寄來的那天，留言區又吵了一次，這次吵的是罰金。</t>
    </r>
  </si>
  <si>
    <r>
      <rPr>
        <sz val="10"/>
        <rFont val="Arial"/>
        <family val="2"/>
      </rPr>
      <t xml:space="preserve">【找行銷公司優化】（擲骰，成功機率 </t>
    </r>
    <r>
      <rPr>
        <sz val="10"/>
        <rFont val="Arial"/>
        <family val="0"/>
        <charset val="1"/>
      </rPr>
      <t xml:space="preserve">80%</t>
    </r>
    <r>
      <rPr>
        <sz val="10"/>
        <rFont val="Arial"/>
        <family val="2"/>
      </rPr>
      <t xml:space="preserve">）
成功：資金 −</t>
    </r>
    <r>
      <rPr>
        <sz val="10"/>
        <rFont val="Arial"/>
        <family val="0"/>
        <charset val="1"/>
      </rPr>
      <t xml:space="preserve">NT$ 80,000
</t>
    </r>
    <r>
      <rPr>
        <sz val="10"/>
        <rFont val="Arial"/>
        <family val="2"/>
      </rPr>
      <t xml:space="preserve">　結果：行銷公司把影片修得很漂亮，檢查員看完說「沒問題」。
失敗：資金 −</t>
    </r>
    <r>
      <rPr>
        <sz val="10"/>
        <rFont val="Arial"/>
        <family val="0"/>
        <charset val="1"/>
      </rPr>
      <t xml:space="preserve">NT$ 130,000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　結果：影片修得很漂亮，但檢查員還是看出了廣告的味道，罰單照開。</t>
    </r>
  </si>
  <si>
    <t xml:space="preserve">referral_hospital</t>
  </si>
  <si>
    <t xml:space="preserve">醫學中心術後轉回復健</t>
  </si>
  <si>
    <t xml:space="preserve">醫學中心社工來問：「術後病人想就近復健，你們可以接嗎？」</t>
  </si>
  <si>
    <r>
      <rPr>
        <sz val="10"/>
        <rFont val="Arial"/>
        <family val="2"/>
      </rPr>
      <t xml:space="preserve">【簽合作，指定窗口】（需有資金 </t>
    </r>
    <r>
      <rPr>
        <sz val="10"/>
        <rFont val="Arial"/>
        <family val="0"/>
        <charset val="1"/>
      </rPr>
      <t xml:space="preserve">NT$ 30,000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、「醫學中心轉介」加成，持續 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個月）：來客量 </t>
    </r>
    <r>
      <rPr>
        <sz val="10"/>
        <rFont val="Arial"/>
        <family val="0"/>
        <charset val="1"/>
      </rPr>
      <t xml:space="preserve">+10%</t>
    </r>
    <r>
      <rPr>
        <sz val="10"/>
        <rFont val="Arial"/>
        <family val="2"/>
      </rPr>
      <t xml:space="preserve">、設定旗標「</t>
    </r>
    <r>
      <rPr>
        <sz val="10"/>
        <rFont val="Arial"/>
        <family val="0"/>
        <charset val="1"/>
      </rPr>
      <t xml:space="preserve">referral_partner</t>
    </r>
    <r>
      <rPr>
        <sz val="10"/>
        <rFont val="Arial"/>
        <family val="2"/>
      </rPr>
      <t xml:space="preserve">」
結果：窗口有了名字與電話，術後病人陸續上門，社工說：「我們就知道你們可以。」</t>
    </r>
  </si>
  <si>
    <r>
      <rPr>
        <sz val="10"/>
        <rFont val="Arial"/>
        <family val="2"/>
      </rPr>
      <t xml:space="preserve">【個案接收】
效果：聲譽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結果：一位術後的阿姨先來報到，她說這裡「很像家裡」，聽起來是好話。</t>
    </r>
  </si>
  <si>
    <t xml:space="preserve">【不接】
效果：無數值效果（僅影響劇情）
結果：社工說：「好，那我再問別家。」電話掛斷，沒有任何聲音。</t>
  </si>
  <si>
    <r>
      <rPr>
        <sz val="10"/>
        <rFont val="Arial"/>
        <family val="2"/>
      </rPr>
      <t xml:space="preserve">選項效果：設定旗標「</t>
    </r>
    <r>
      <rPr>
        <sz val="10"/>
        <rFont val="Arial"/>
        <family val="0"/>
        <charset val="1"/>
      </rPr>
      <t xml:space="preserve">referral_partner</t>
    </r>
    <r>
      <rPr>
        <sz val="10"/>
        <rFont val="Arial"/>
        <family val="2"/>
      </rPr>
      <t xml:space="preserve">」</t>
    </r>
  </si>
  <si>
    <t xml:space="preserve">pharmacy_partner</t>
  </si>
  <si>
    <t xml:space="preserve">在地藥局合作</t>
  </si>
  <si>
    <t xml:space="preserve">藥局老闆說：「你們把藥單交給我，我幫你們提醒病人吃藥。」</t>
  </si>
  <si>
    <r>
      <rPr>
        <sz val="10"/>
        <rFont val="Arial"/>
        <family val="2"/>
      </rPr>
      <t xml:space="preserve">【簽簡單合作，各自合規】（需有資金 </t>
    </r>
    <r>
      <rPr>
        <sz val="10"/>
        <rFont val="Arial"/>
        <family val="0"/>
        <charset val="1"/>
      </rPr>
      <t xml:space="preserve">NT$ 10,000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、全診所病患滿意度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（在場病患各 </t>
    </r>
    <r>
      <rPr>
        <sz val="10"/>
        <rFont val="Arial"/>
        <family val="0"/>
        <charset val="1"/>
      </rPr>
      <t xml:space="preserve">+1.5</t>
    </r>
    <r>
      <rPr>
        <sz val="10"/>
        <rFont val="Arial"/>
        <family val="2"/>
      </rPr>
      <t xml:space="preserve">；接下來一週新來病患的起始滿意度另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）
結果：合作書只有一頁，各自的職責寫得清清楚楚，病人說藥局的人比較會叮嚀。</t>
    </r>
  </si>
  <si>
    <r>
      <rPr>
        <sz val="10"/>
        <rFont val="Arial"/>
        <family val="2"/>
      </rPr>
      <t xml:space="preserve">【拒絕，避免瓜田李下】
效果：聲譽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結果：老闆點頭說：「也對，清清白白最好。」藥單繼續由病人自己帶回家。</t>
    </r>
  </si>
  <si>
    <r>
      <rPr>
        <sz val="10"/>
        <rFont val="Arial"/>
        <family val="2"/>
      </rPr>
      <t xml:space="preserve">【簽高比例回饋】
效果：資金 </t>
    </r>
    <r>
      <rPr>
        <sz val="10"/>
        <rFont val="Arial"/>
        <family val="0"/>
        <charset val="1"/>
      </rPr>
      <t xml:space="preserve">+NT$ 60,000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結果：回饋款按月入帳，但街坊開始議論診所跟藥局的關係。</t>
    </r>
  </si>
  <si>
    <t xml:space="preserve">cold_stroke_signs</t>
  </si>
  <si>
    <t xml:space="preserve">寒流中風警訊</t>
  </si>
  <si>
    <t xml:space="preserve">寒流時</t>
  </si>
  <si>
    <t xml:space="preserve">阿伯說：「我只是肩頸痠，有點頭暈。」血壓計顯示的是另一個故事。</t>
  </si>
  <si>
    <r>
      <rPr>
        <sz val="10"/>
        <rFont val="Arial"/>
        <family val="2"/>
      </rPr>
      <t xml:space="preserve">【量血壓，立刻轉診急診】（需有資金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+8
</t>
    </r>
    <r>
      <rPr>
        <sz val="10"/>
        <rFont val="Arial"/>
        <family val="2"/>
      </rPr>
      <t xml:space="preserve">結果：轉診單寫得很快，急診收到人時，阿伯還在問自己是不是小題大作。</t>
    </r>
  </si>
  <si>
    <r>
      <rPr>
        <sz val="10"/>
        <rFont val="Arial"/>
        <family val="2"/>
      </rPr>
      <t xml:space="preserve">【照常熱敷觀察】（擲骰，成功機率 </t>
    </r>
    <r>
      <rPr>
        <sz val="10"/>
        <rFont val="Arial"/>
        <family val="0"/>
        <charset val="1"/>
      </rPr>
      <t xml:space="preserve">80%</t>
    </r>
    <r>
      <rPr>
        <sz val="10"/>
        <rFont val="Arial"/>
        <family val="2"/>
      </rPr>
      <t xml:space="preserve">）
成功：無數值效果
　結果：熱敷後阿伯的頭不暈了，隔天又來報到，還帶了一袋橘子。
失敗：聲譽 −</t>
    </r>
    <r>
      <rPr>
        <sz val="10"/>
        <rFont val="Arial"/>
        <family val="0"/>
        <charset val="1"/>
      </rPr>
      <t xml:space="preserve">15
</t>
    </r>
    <r>
      <rPr>
        <sz val="10"/>
        <rFont val="Arial"/>
        <family val="2"/>
      </rPr>
      <t xml:space="preserve">　結果：阿伯在家裡暈倒，消息傳開，大家都說診所沒發現。</t>
    </r>
  </si>
  <si>
    <r>
      <rPr>
        <sz val="10"/>
        <rFont val="Arial"/>
        <family val="2"/>
      </rPr>
      <t xml:space="preserve">【請他回家休息】
效果：全診所病患滿意度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）
結果：阿伯回家休息，但他一路上都在想，診所是不是不太在乎他。</t>
    </r>
  </si>
  <si>
    <t xml:space="preserve">cold_joint_surge</t>
  </si>
  <si>
    <t xml:space="preserve">寒流關節痛爆量</t>
  </si>
  <si>
    <t xml:space="preserve">候診區滿座，熱敷箱不夠，阿嬤們開始互相讓位。</t>
  </si>
  <si>
    <r>
      <rPr>
        <sz val="10"/>
        <rFont val="Arial"/>
        <family val="2"/>
      </rPr>
      <t xml:space="preserve">【加開早診】（需有資金 </t>
    </r>
    <r>
      <rPr>
        <sz val="10"/>
        <rFont val="Arial"/>
        <family val="0"/>
        <charset val="1"/>
      </rPr>
      <t xml:space="preserve">NT$ 40,000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NT$ 40,000</t>
    </r>
    <r>
      <rPr>
        <sz val="10"/>
        <rFont val="Arial"/>
        <family val="2"/>
      </rPr>
      <t xml:space="preserve">、「加開早診」加成，持續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週：來客量 </t>
    </r>
    <r>
      <rPr>
        <sz val="10"/>
        <rFont val="Arial"/>
        <family val="0"/>
        <charset val="1"/>
      </rPr>
      <t xml:space="preserve">+20%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結果：早上七點就有人排隊，同仁們的眼皮跟著早起。</t>
    </r>
  </si>
  <si>
    <r>
      <rPr>
        <sz val="10"/>
        <rFont val="Arial"/>
        <family val="2"/>
      </rPr>
      <t xml:space="preserve">【發號碼牌限量】
效果：全診所病患滿意度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）
結果：號碼牌發完了，阿嬤們在門口圍成一圈，講了一整個上午的病。</t>
    </r>
  </si>
  <si>
    <r>
      <rPr>
        <sz val="10"/>
        <rFont val="Arial"/>
        <family val="2"/>
      </rPr>
      <t xml:space="preserve">【租借熱敷設備】（需有資金 </t>
    </r>
    <r>
      <rPr>
        <sz val="10"/>
        <rFont val="Arial"/>
        <family val="0"/>
        <charset val="1"/>
      </rPr>
      <t xml:space="preserve">NT$ 30,000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NT$ 30,000
</t>
    </r>
    <r>
      <rPr>
        <sz val="10"/>
        <rFont val="Arial"/>
        <family val="2"/>
      </rPr>
      <t xml:space="preserve">結果：租來的熱敷設備插上電，候診區暖起來了，阿嬤說：「這才像樣。」</t>
    </r>
  </si>
  <si>
    <t xml:space="preserve">plum_rain_floor</t>
  </si>
  <si>
    <t xml:space="preserve">梅雨季地板濕滑</t>
  </si>
  <si>
    <t xml:space="preserve">梅雨季時</t>
  </si>
  <si>
    <t xml:space="preserve">玄關像溜冰場，雨傘滴出一條小河。</t>
  </si>
  <si>
    <r>
      <rPr>
        <sz val="10"/>
        <rFont val="Arial"/>
        <family val="2"/>
      </rPr>
      <t xml:space="preserve">【放防滑地墊與傘套機】（需有資金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、「防滑地墊與傘套機」加成，持續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個月）：滑倒風險 −</t>
    </r>
    <r>
      <rPr>
        <sz val="10"/>
        <rFont val="Arial"/>
        <family val="0"/>
        <charset val="1"/>
      </rPr>
      <t xml:space="preserve">30%
</t>
    </r>
    <r>
      <rPr>
        <sz val="10"/>
        <rFont val="Arial"/>
        <family val="2"/>
      </rPr>
      <t xml:space="preserve">結果：地墊鋪好，傘套機咻咻地套，玄關終於看得出是地板。</t>
    </r>
  </si>
  <si>
    <r>
      <rPr>
        <sz val="10"/>
        <rFont val="Arial"/>
        <family val="2"/>
      </rPr>
      <t xml:space="preserve">【派人拖地】
效果：櫃檯護理師</t>
    </r>
    <r>
      <rPr>
        <sz val="10"/>
        <rFont val="Arial"/>
        <family val="0"/>
        <charset val="1"/>
      </rPr>
      <t xml:space="preserve">/</t>
    </r>
    <r>
      <rPr>
        <sz val="10"/>
        <rFont val="Arial"/>
        <family val="2"/>
      </rPr>
      <t xml:space="preserve">行政體力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結果：護理師拖了一次又一次，拖把跟雨傘一樣溼。</t>
    </r>
  </si>
  <si>
    <r>
      <rPr>
        <sz val="10"/>
        <rFont val="Arial"/>
        <family val="2"/>
      </rPr>
      <t xml:space="preserve">【不處理】
效果：「玄關濕滑」加成，持續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個月）：滑倒風險 </t>
    </r>
    <r>
      <rPr>
        <sz val="10"/>
        <rFont val="Arial"/>
        <family val="0"/>
        <charset val="1"/>
      </rPr>
      <t xml:space="preserve">+30%
</t>
    </r>
    <r>
      <rPr>
        <sz val="10"/>
        <rFont val="Arial"/>
        <family val="2"/>
      </rPr>
      <t xml:space="preserve">結果：地板依然很滑，大家走路都改成小碎步，像在演默劇。</t>
    </r>
  </si>
  <si>
    <t xml:space="preserve">typhoon_aftermath</t>
  </si>
  <si>
    <t xml:space="preserve">颱風假隔天補診潮</t>
  </si>
  <si>
    <r>
      <rPr>
        <sz val="10"/>
        <rFont val="Arial"/>
        <family val="0"/>
        <charset val="1"/>
      </rPr>
      <t xml:space="preserve">7–10 </t>
    </r>
    <r>
      <rPr>
        <sz val="10"/>
        <rFont val="Arial"/>
        <family val="2"/>
      </rPr>
      <t xml:space="preserve">月，且晴天、陰天 或 雨天時</t>
    </r>
  </si>
  <si>
    <t xml:space="preserve">颱風假結束，大家同時想起自己的腰。</t>
  </si>
  <si>
    <r>
      <rPr>
        <sz val="10"/>
        <rFont val="Arial"/>
        <family val="2"/>
      </rPr>
      <t xml:space="preserve">【全員到班，加開】
效果：「颱風補診潮」加成，持續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週：來客量 </t>
    </r>
    <r>
      <rPr>
        <sz val="10"/>
        <rFont val="Arial"/>
        <family val="0"/>
        <charset val="1"/>
      </rPr>
      <t xml:space="preserve">+30%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12
</t>
    </r>
    <r>
      <rPr>
        <sz val="10"/>
        <rFont val="Arial"/>
        <family val="2"/>
      </rPr>
      <t xml:space="preserve">結果：颱風假後的第一天，候診區像開學日，大家笑著擠進來。</t>
    </r>
  </si>
  <si>
    <r>
      <rPr>
        <sz val="10"/>
        <rFont val="Arial"/>
        <family val="2"/>
      </rPr>
      <t xml:space="preserve">【照常開診】
效果：全診所病患滿意度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）
結果：病人排了半天隊，一邊抱怨一邊把腰扭來扭去。</t>
    </r>
  </si>
  <si>
    <r>
      <rPr>
        <sz val="10"/>
        <rFont val="Arial"/>
        <family val="2"/>
      </rPr>
      <t xml:space="preserve">【限額預約】
效果：聲譽 </t>
    </r>
    <r>
      <rPr>
        <sz val="10"/>
        <rFont val="Arial"/>
        <family val="0"/>
        <charset val="1"/>
      </rPr>
      <t xml:space="preserve">+1
</t>
    </r>
    <r>
      <rPr>
        <sz val="10"/>
        <rFont val="Arial"/>
        <family val="2"/>
      </rPr>
      <t xml:space="preserve">結果：限額預約表貼在門口，大家守規矩排隊，還有人說這樣清爽。</t>
    </r>
  </si>
  <si>
    <t xml:space="preserve">cny_back_strain</t>
  </si>
  <si>
    <t xml:space="preserve">年前大掃除閃到腰</t>
  </si>
  <si>
    <r>
      <rPr>
        <sz val="10"/>
        <rFont val="Arial"/>
        <family val="0"/>
        <charset val="1"/>
      </rPr>
      <t xml:space="preserve">1–2 </t>
    </r>
    <r>
      <rPr>
        <sz val="10"/>
        <rFont val="Arial"/>
        <family val="2"/>
      </rPr>
      <t xml:space="preserve">月</t>
    </r>
  </si>
  <si>
    <t xml:space="preserve">病人說：「我只是擦了一下窗戶。」那是整棟樓的窗戶。</t>
  </si>
  <si>
    <r>
      <rPr>
        <sz val="10"/>
        <rFont val="Arial"/>
        <family val="2"/>
      </rPr>
      <t xml:space="preserve">【設「閃腰急診號」】（需有資金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、「閃腰急診號」加成，持續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週：來客量 </t>
    </r>
    <r>
      <rPr>
        <sz val="10"/>
        <rFont val="Arial"/>
        <family val="0"/>
        <charset val="1"/>
      </rPr>
      <t xml:space="preserve">+20%
</t>
    </r>
    <r>
      <rPr>
        <sz val="10"/>
        <rFont val="Arial"/>
        <family val="2"/>
      </rPr>
      <t xml:space="preserve">結果：急診號碼一掛出，年前的閃腰病人排成一條彎彎的隊。</t>
    </r>
  </si>
  <si>
    <r>
      <rPr>
        <sz val="10"/>
        <rFont val="Arial"/>
        <family val="2"/>
      </rPr>
      <t xml:space="preserve">【一般排隊】
效果：全診所病患滿意度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（在場病患各 −</t>
    </r>
    <r>
      <rPr>
        <sz val="10"/>
        <rFont val="Arial"/>
        <family val="0"/>
        <charset val="1"/>
      </rPr>
      <t xml:space="preserve">1.5</t>
    </r>
    <r>
      <rPr>
        <sz val="10"/>
        <rFont val="Arial"/>
        <family val="2"/>
      </rPr>
      <t xml:space="preserve">；接下來一週新來病患的起始滿意度另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）
結果：病人在候診區揉著腰，等了很久，嘴裡念叨著「下次不擦了」。</t>
    </r>
  </si>
  <si>
    <r>
      <rPr>
        <sz val="10"/>
        <rFont val="Arial"/>
        <family val="2"/>
      </rPr>
      <t xml:space="preserve">【辦衛教攤位】（需有資金 </t>
    </r>
    <r>
      <rPr>
        <sz val="10"/>
        <rFont val="Arial"/>
        <family val="0"/>
        <charset val="1"/>
      </rPr>
      <t xml:space="preserve">NT$ 10,000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結果：衛教攤位教大家「彎腰要屈膝」，阿伯示範時，腰又閃了一下。</t>
    </r>
  </si>
  <si>
    <t xml:space="preserve">cny_closing</t>
  </si>
  <si>
    <t xml:space="preserve">春節休診前後</t>
  </si>
  <si>
    <t xml:space="preserve">全員都想休，病人也想在年前把痛處理掉。</t>
  </si>
  <si>
    <r>
      <rPr>
        <sz val="10"/>
        <rFont val="Arial"/>
        <family val="2"/>
      </rPr>
      <t xml:space="preserve">【初二初三開半天】
效果：資金 </t>
    </r>
    <r>
      <rPr>
        <sz val="10"/>
        <rFont val="Arial"/>
        <family val="0"/>
        <charset val="1"/>
      </rPr>
      <t xml:space="preserve">+NT$ 80,000</t>
    </r>
    <r>
      <rPr>
        <sz val="10"/>
        <rFont val="Arial"/>
        <family val="2"/>
      </rPr>
      <t xml:space="preserve">、全體員工體力 −</t>
    </r>
    <r>
      <rPr>
        <sz val="10"/>
        <rFont val="Arial"/>
        <family val="0"/>
        <charset val="1"/>
      </rPr>
      <t xml:space="preserve">12
</t>
    </r>
    <r>
      <rPr>
        <sz val="10"/>
        <rFont val="Arial"/>
        <family val="2"/>
      </rPr>
      <t xml:space="preserve">結果：半天的門診擠得滿滿，同仁下班時像剛打完一場球。</t>
    </r>
  </si>
  <si>
    <r>
      <rPr>
        <sz val="10"/>
        <rFont val="Arial"/>
        <family val="2"/>
      </rPr>
      <t xml:space="preserve">【全休】
效果：「年後補療潮」加成，持續 </t>
    </r>
    <r>
      <rPr>
        <sz val="10"/>
        <rFont val="Arial"/>
        <family val="0"/>
        <charset val="1"/>
      </rPr>
      <t xml:space="preserve">2 </t>
    </r>
    <r>
      <rPr>
        <sz val="10"/>
        <rFont val="Arial"/>
        <family val="2"/>
      </rPr>
      <t xml:space="preserve">週：來客量 </t>
    </r>
    <r>
      <rPr>
        <sz val="10"/>
        <rFont val="Arial"/>
        <family val="0"/>
        <charset val="1"/>
      </rPr>
      <t xml:space="preserve">+15%
</t>
    </r>
    <r>
      <rPr>
        <sz val="10"/>
        <rFont val="Arial"/>
        <family val="2"/>
      </rPr>
      <t xml:space="preserve">結果：診所關門過年，病人年後一起來，說要把之前忍的都補回來。</t>
    </r>
  </si>
  <si>
    <r>
      <rPr>
        <sz val="10"/>
        <rFont val="Arial"/>
        <family val="2"/>
      </rPr>
      <t xml:space="preserve">【輪班】
效果：資金 </t>
    </r>
    <r>
      <rPr>
        <sz val="10"/>
        <rFont val="Arial"/>
        <family val="0"/>
        <charset val="1"/>
      </rPr>
      <t xml:space="preserve">+NT$ 30,000</t>
    </r>
    <r>
      <rPr>
        <sz val="10"/>
        <rFont val="Arial"/>
        <family val="2"/>
      </rPr>
      <t xml:space="preserve">、全體員工士氣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結果：輪班表排好了，有人笑說今年的紅包是班表給的。</t>
    </r>
  </si>
  <si>
    <t xml:space="preserve">scoliosis_followup</t>
  </si>
  <si>
    <t xml:space="preserve">側彎篩檢陽性轉診</t>
  </si>
  <si>
    <r>
      <rPr>
        <sz val="10"/>
        <rFont val="Arial"/>
        <family val="0"/>
        <charset val="1"/>
      </rPr>
      <t xml:space="preserve">9–10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月</t>
    </r>
  </si>
  <si>
    <t xml:space="preserve">家長拿著學校單子：「他們說可能有問題，可是他看起來很正常啊。」</t>
  </si>
  <si>
    <r>
      <rPr>
        <sz val="10"/>
        <rFont val="Arial"/>
        <family val="2"/>
      </rPr>
      <t xml:space="preserve">【設兒童脊椎專案】（需有資金 </t>
    </r>
    <r>
      <rPr>
        <sz val="10"/>
        <rFont val="Arial"/>
        <family val="0"/>
        <charset val="1"/>
      </rPr>
      <t xml:space="preserve">NT$ 60,000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、「兒童脊椎專案」加成，持續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個月）：早療兒童與家長來客 </t>
    </r>
    <r>
      <rPr>
        <sz val="10"/>
        <rFont val="Arial"/>
        <family val="0"/>
        <charset val="1"/>
      </rPr>
      <t xml:space="preserve">+30%
</t>
    </r>
    <r>
      <rPr>
        <sz val="10"/>
        <rFont val="Arial"/>
        <family val="2"/>
      </rPr>
      <t xml:space="preserve">結果：專案表格印好了，孩子們陸續來量背，家長也開始拍照留紀錄。</t>
    </r>
  </si>
  <si>
    <r>
      <rPr>
        <sz val="10"/>
        <rFont val="Arial"/>
        <family val="2"/>
      </rPr>
      <t xml:space="preserve">【發衛教單】
效果：聲譽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結果：衛教單上寫著「請複檢」，家長說：「好，我下週再來。」下週還沒來。</t>
    </r>
  </si>
  <si>
    <t xml:space="preserve">【不處理】
效果：無數值效果（僅影響劇情）
結果：單子留在家長的包包裡，直到洗衣服那天才被發現。</t>
  </si>
  <si>
    <t xml:space="preserve">summer_sports</t>
  </si>
  <si>
    <t xml:space="preserve">暑假運動傷害</t>
  </si>
  <si>
    <r>
      <rPr>
        <sz val="10"/>
        <rFont val="Arial"/>
        <family val="0"/>
        <charset val="1"/>
      </rPr>
      <t xml:space="preserve">7–8 </t>
    </r>
    <r>
      <rPr>
        <sz val="10"/>
        <rFont val="Arial"/>
        <family val="2"/>
      </rPr>
      <t xml:space="preserve">月</t>
    </r>
  </si>
  <si>
    <t xml:space="preserve">暑假的孩子們用腳踝證明自己跳得很高。</t>
  </si>
  <si>
    <r>
      <rPr>
        <sz val="10"/>
        <rFont val="Arial"/>
        <family val="2"/>
      </rPr>
      <t xml:space="preserve">【暑期運動傷害專案】（需有資金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、「暑期運動傷害專案」加成，持續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週：運動傷害病患來客 </t>
    </r>
    <r>
      <rPr>
        <sz val="10"/>
        <rFont val="Arial"/>
        <family val="0"/>
        <charset val="1"/>
      </rPr>
      <t xml:space="preserve">+30%</t>
    </r>
    <r>
      <rPr>
        <sz val="10"/>
        <rFont val="Arial"/>
        <family val="2"/>
      </rPr>
      <t xml:space="preserve">、早療兒童與家長來客 </t>
    </r>
    <r>
      <rPr>
        <sz val="10"/>
        <rFont val="Arial"/>
        <family val="0"/>
        <charset val="1"/>
      </rPr>
      <t xml:space="preserve">+20%
</t>
    </r>
    <r>
      <rPr>
        <sz val="10"/>
        <rFont val="Arial"/>
        <family val="2"/>
      </rPr>
      <t xml:space="preserve">結果：扭傷的腳踝排成一列，醫療團隊的紀錄本越寫越厚。</t>
    </r>
  </si>
  <si>
    <r>
      <rPr>
        <sz val="10"/>
        <rFont val="Arial"/>
        <family val="2"/>
      </rPr>
      <t xml:space="preserve">【與校隊簽約】（需有資金 </t>
    </r>
    <r>
      <rPr>
        <sz val="10"/>
        <rFont val="Arial"/>
        <family val="0"/>
        <charset val="1"/>
      </rPr>
      <t xml:space="preserve">NT$ 80,000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NT$ 80,000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+6
</t>
    </r>
    <r>
      <rPr>
        <sz val="10"/>
        <rFont val="Arial"/>
        <family val="2"/>
      </rPr>
      <t xml:space="preserve">結果：校隊教練很開心，球隊的運動褲上多了一個小小的診所標誌。</t>
    </r>
  </si>
  <si>
    <t xml:space="preserve">【一般門診】
效果：無數值效果（僅影響劇情）
結果：扭傷的孩子們一個個來掛號，醫生說：「下次跳高前先熱身。」</t>
  </si>
  <si>
    <t xml:space="preserve">marathon_season</t>
  </si>
  <si>
    <t xml:space="preserve">馬拉松季</t>
  </si>
  <si>
    <r>
      <rPr>
        <sz val="10"/>
        <rFont val="Arial"/>
        <family val="0"/>
        <charset val="1"/>
      </rPr>
      <t xml:space="preserve">10–12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月</t>
    </r>
  </si>
  <si>
    <t xml:space="preserve">馬拉松前一週，診所擠滿來「臨時抱佛腳」的跑者。</t>
  </si>
  <si>
    <r>
      <rPr>
        <sz val="10"/>
        <rFont val="Arial"/>
        <family val="2"/>
      </rPr>
      <t xml:space="preserve">【賽前貼紮攤位】（需有資金 </t>
    </r>
    <r>
      <rPr>
        <sz val="10"/>
        <rFont val="Arial"/>
        <family val="0"/>
        <charset val="1"/>
      </rPr>
      <t xml:space="preserve">NT$ 60,000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+7</t>
    </r>
    <r>
      <rPr>
        <sz val="10"/>
        <rFont val="Arial"/>
        <family val="2"/>
      </rPr>
      <t xml:space="preserve">、「賽前貼紮攤位」加成，持續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週：運動傷害病患來客 </t>
    </r>
    <r>
      <rPr>
        <sz val="10"/>
        <rFont val="Arial"/>
        <family val="0"/>
        <charset val="1"/>
      </rPr>
      <t xml:space="preserve">+30%
</t>
    </r>
    <r>
      <rPr>
        <sz val="10"/>
        <rFont val="Arial"/>
        <family val="2"/>
      </rPr>
      <t xml:space="preserve">結果：貼紮攤位搭好了，跑者一邊貼膠布一邊說「這次一定破紀錄」。</t>
    </r>
  </si>
  <si>
    <r>
      <rPr>
        <sz val="10"/>
        <rFont val="Arial"/>
        <family val="2"/>
      </rPr>
      <t xml:space="preserve">【賽後恢復套餐（自費）】
效果：資金 </t>
    </r>
    <r>
      <rPr>
        <sz val="10"/>
        <rFont val="Arial"/>
        <family val="0"/>
        <charset val="1"/>
      </rPr>
      <t xml:space="preserve">+NT$ 100,000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結果：跑者們自費買了恢復套餐，腿跑完了，錢包也跟著縮水。</t>
    </r>
  </si>
  <si>
    <t xml:space="preserve">【不參與】
效果：無數值效果（僅影響劇情）
結果：跑者們自己找了冰敷袋，腳底的筋膜繼續抗議。</t>
  </si>
  <si>
    <t xml:space="preserve">temple_procession</t>
  </si>
  <si>
    <t xml:space="preserve">遶境進香</t>
  </si>
  <si>
    <r>
      <rPr>
        <sz val="10"/>
        <rFont val="Arial"/>
        <family val="0"/>
        <charset val="1"/>
      </rPr>
      <t xml:space="preserve">3–4 </t>
    </r>
    <r>
      <rPr>
        <sz val="10"/>
        <rFont val="Arial"/>
        <family val="2"/>
      </rPr>
      <t xml:space="preserve">月</t>
    </r>
  </si>
  <si>
    <t xml:space="preserve">阿嬤們說：「我們要去走一整個禮拜！」你擔心的是她們的膝蓋，她們擔心的是遲到。</t>
  </si>
  <si>
    <r>
      <rPr>
        <sz val="10"/>
        <rFont val="Arial"/>
        <family val="2"/>
      </rPr>
      <t xml:space="preserve">【派人去醫療站支援】（需有資金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+8</t>
    </r>
    <r>
      <rPr>
        <sz val="10"/>
        <rFont val="Arial"/>
        <family val="2"/>
      </rPr>
      <t xml:space="preserve">、櫃檯護理師</t>
    </r>
    <r>
      <rPr>
        <sz val="10"/>
        <rFont val="Arial"/>
        <family val="0"/>
        <charset val="1"/>
      </rPr>
      <t xml:space="preserve">/</t>
    </r>
    <r>
      <rPr>
        <sz val="10"/>
        <rFont val="Arial"/>
        <family val="2"/>
      </rPr>
      <t xml:space="preserve">行政體力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結果：醫療站的帳篷撐起來了，水泡一個個被挑破，阿嬤們說比廟裡的香還靈。</t>
    </r>
  </si>
  <si>
    <r>
      <rPr>
        <sz val="10"/>
        <rFont val="Arial"/>
        <family val="2"/>
      </rPr>
      <t xml:space="preserve">【行前辦腳底與步態檢查】（需有資金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結果：腳底檢查做完，鞋墊發了一堆，阿嬤們穿著新鞋出發，腳步輕快。</t>
    </r>
  </si>
  <si>
    <r>
      <rPr>
        <sz val="10"/>
        <rFont val="Arial"/>
        <family val="2"/>
      </rPr>
      <t xml:space="preserve">【事後回診接收】
效果：「遶境後回診」加成，持續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個月）：晨間長輩團來客 </t>
    </r>
    <r>
      <rPr>
        <sz val="10"/>
        <rFont val="Arial"/>
        <family val="0"/>
        <charset val="1"/>
      </rPr>
      <t xml:space="preserve">+30%
</t>
    </r>
    <r>
      <rPr>
        <sz val="10"/>
        <rFont val="Arial"/>
        <family val="2"/>
      </rPr>
      <t xml:space="preserve">結果：遶境回來的阿嬤們一個個來報到，都說「膝蓋在抗議，但我們贏了」。</t>
    </r>
  </si>
  <si>
    <t xml:space="preserve">elder_day_gift</t>
  </si>
  <si>
    <t xml:space="preserve">母親節與重陽敬老</t>
  </si>
  <si>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10 </t>
    </r>
    <r>
      <rPr>
        <sz val="10"/>
        <rFont val="Arial"/>
        <family val="2"/>
      </rPr>
      <t xml:space="preserve">月</t>
    </r>
  </si>
  <si>
    <t xml:space="preserve">護理師提議：「來辦個敬老活動吧！」同時有人說：「不能亂送東西喔。」</t>
  </si>
  <si>
    <r>
      <rPr>
        <sz val="10"/>
        <rFont val="Arial"/>
        <family val="2"/>
      </rPr>
      <t xml:space="preserve">【送熱敷小禮，附衛教卡】（需有資金 </t>
    </r>
    <r>
      <rPr>
        <sz val="10"/>
        <rFont val="Arial"/>
        <family val="0"/>
        <charset val="1"/>
      </rPr>
      <t xml:space="preserve">NT$ 30,000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NT$ 30,000</t>
    </r>
    <r>
      <rPr>
        <sz val="10"/>
        <rFont val="Arial"/>
        <family val="2"/>
      </rPr>
      <t xml:space="preserve">、「敬老小禮」加成，持續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個月）：長輩滿意度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結果：熱敷小禮分下去，阿嬤把衛教卡貼在冰箱上，說要照著做。</t>
    </r>
  </si>
  <si>
    <r>
      <rPr>
        <sz val="10"/>
        <rFont val="Arial"/>
        <family val="2"/>
      </rPr>
      <t xml:space="preserve">【辦免費測量活動】（需有資金 </t>
    </r>
    <r>
      <rPr>
        <sz val="10"/>
        <rFont val="Arial"/>
        <family val="0"/>
        <charset val="1"/>
      </rPr>
      <t xml:space="preserve">NT$ 20,000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
</t>
    </r>
    <r>
      <rPr>
        <sz val="10"/>
        <rFont val="Arial"/>
        <family val="2"/>
      </rPr>
      <t xml:space="preserve">結果：血壓、血糖一輪量完，阿伯們圍著桌子比較數字，像在比賽。</t>
    </r>
  </si>
  <si>
    <t xml:space="preserve">【不辦】
效果：無數值效果（僅影響劇情）
結果：今年沒有敬老活動，大家只好在群組裡傳一張花的圖。</t>
  </si>
  <si>
    <t xml:space="preserve">yearend_office_crunch</t>
  </si>
  <si>
    <t xml:space="preserve">年終加班的肩頸</t>
  </si>
  <si>
    <t xml:space="preserve">上班族說：「年終前不能請假，我的脖子可以請假嗎？」</t>
  </si>
  <si>
    <r>
      <rPr>
        <sz val="10"/>
        <rFont val="Arial"/>
        <family val="2"/>
      </rPr>
      <t xml:space="preserve">【辦企業到點衛教】（需有資金 </t>
    </r>
    <r>
      <rPr>
        <sz val="10"/>
        <rFont val="Arial"/>
        <family val="0"/>
        <charset val="1"/>
      </rPr>
      <t xml:space="preserve">NT$ 50,000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、「企業到點衛教」加成，持續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週（約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個月）：肩頸僵硬上班族來客 </t>
    </r>
    <r>
      <rPr>
        <sz val="10"/>
        <rFont val="Arial"/>
        <family val="0"/>
        <charset val="1"/>
      </rPr>
      <t xml:space="preserve">+30%
</t>
    </r>
    <r>
      <rPr>
        <sz val="10"/>
        <rFont val="Arial"/>
        <family val="2"/>
      </rPr>
      <t xml:space="preserve">結果：衛教師到公司講解伸展，員工一起轉脖子，會議室像在做體操。</t>
    </r>
  </si>
  <si>
    <r>
      <rPr>
        <sz val="10"/>
        <rFont val="Arial"/>
        <family val="2"/>
      </rPr>
      <t xml:space="preserve">【午休線上衛教】（需有資金 </t>
    </r>
    <r>
      <rPr>
        <sz val="10"/>
        <rFont val="Arial"/>
        <family val="0"/>
        <charset val="1"/>
      </rPr>
      <t xml:space="preserve">NT$ 10,000 </t>
    </r>
    <r>
      <rPr>
        <sz val="10"/>
        <rFont val="Arial"/>
        <family val="2"/>
      </rPr>
      <t xml:space="preserve">以上才可選）
效果：資金 −</t>
    </r>
    <r>
      <rPr>
        <sz val="10"/>
        <rFont val="Arial"/>
        <family val="0"/>
        <charset val="1"/>
      </rPr>
      <t xml:space="preserve">NT$ 10,000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結果：午休影片一播，大家邊吃便當邊轉肩膀，脖子終於有空休息一下。</t>
    </r>
  </si>
  <si>
    <t xml:space="preserve">【不辦】
效果：無數值效果（僅影響劇情）
結果：年終前夕，大家繼續低頭打字，脖子跟著低頭。</t>
  </si>
  <si>
    <t xml:space="preserve">名稱</t>
  </si>
  <si>
    <t xml:space="preserve">圖示</t>
  </si>
  <si>
    <t xml:space="preserve">出現月份</t>
  </si>
  <si>
    <t xml:space="preserve">氣溫範圍</t>
  </si>
  <si>
    <t xml:space="preserve">對病患／滑倒／來客的影響</t>
  </si>
  <si>
    <t xml:space="preserve">一句新聞</t>
  </si>
  <si>
    <t xml:space="preserve">晴朗好天氣</t>
  </si>
  <si>
    <t xml:space="preserve">sunny</t>
  </si>
  <si>
    <t xml:space="preserve">☀️</t>
  </si>
  <si>
    <r>
      <rPr>
        <sz val="10"/>
        <rFont val="Arial"/>
        <family val="0"/>
        <charset val="1"/>
      </rPr>
      <t xml:space="preserve">3–11 </t>
    </r>
    <r>
      <rPr>
        <sz val="10"/>
        <rFont val="Arial"/>
        <family val="2"/>
      </rPr>
      <t xml:space="preserve">月</t>
    </r>
  </si>
  <si>
    <t xml:space="preserve">24–33°C</t>
  </si>
  <si>
    <r>
      <rPr>
        <sz val="10"/>
        <rFont val="Arial"/>
        <family val="2"/>
      </rPr>
      <t xml:space="preserve">運動傷害病患來客 </t>
    </r>
    <r>
      <rPr>
        <sz val="10"/>
        <rFont val="Arial"/>
        <family val="0"/>
        <charset val="1"/>
      </rPr>
      <t xml:space="preserve">×1.3</t>
    </r>
    <r>
      <rPr>
        <sz val="10"/>
        <rFont val="Arial"/>
        <family val="2"/>
      </rPr>
      <t xml:space="preserve">；晨間長輩團來客 </t>
    </r>
    <r>
      <rPr>
        <sz val="10"/>
        <rFont val="Arial"/>
        <family val="0"/>
        <charset val="1"/>
      </rPr>
      <t xml:space="preserve">×1.05</t>
    </r>
    <r>
      <rPr>
        <sz val="10"/>
        <rFont val="Arial"/>
        <family val="2"/>
      </rPr>
      <t xml:space="preserve">；滑倒機率 </t>
    </r>
    <r>
      <rPr>
        <sz val="10"/>
        <rFont val="Arial"/>
        <family val="0"/>
        <charset val="1"/>
      </rPr>
      <t xml:space="preserve">×0.9</t>
    </r>
  </si>
  <si>
    <t xml:space="preserve">陽光超猛，運動員都出來跑步了，膝蓋也跟著出門。</t>
  </si>
  <si>
    <t xml:space="preserve">陰天</t>
  </si>
  <si>
    <t xml:space="preserve">cloudy</t>
  </si>
  <si>
    <t xml:space="preserve">☁️</t>
  </si>
  <si>
    <r>
      <rPr>
        <sz val="10"/>
        <rFont val="Arial"/>
        <family val="0"/>
        <charset val="1"/>
      </rPr>
      <t xml:space="preserve">1–12 </t>
    </r>
    <r>
      <rPr>
        <sz val="10"/>
        <rFont val="Arial"/>
        <family val="2"/>
      </rPr>
      <t xml:space="preserve">月</t>
    </r>
  </si>
  <si>
    <t xml:space="preserve">20–28°C</t>
  </si>
  <si>
    <r>
      <rPr>
        <sz val="10"/>
        <rFont val="Arial"/>
        <family val="2"/>
      </rPr>
      <t xml:space="preserve">肩頸僵硬上班族來客 </t>
    </r>
    <r>
      <rPr>
        <sz val="10"/>
        <rFont val="Arial"/>
        <family val="0"/>
        <charset val="1"/>
      </rPr>
      <t xml:space="preserve">×1.1</t>
    </r>
    <r>
      <rPr>
        <sz val="10"/>
        <rFont val="Arial"/>
        <family val="2"/>
      </rPr>
      <t xml:space="preserve">；滑倒機率不變</t>
    </r>
  </si>
  <si>
    <t xml:space="preserve">陰陰的，不晴不雨，上班族的肩頸先陰了。</t>
  </si>
  <si>
    <t xml:space="preserve">午後陣雨</t>
  </si>
  <si>
    <t xml:space="preserve">rain</t>
  </si>
  <si>
    <t xml:space="preserve">🌦️</t>
  </si>
  <si>
    <r>
      <rPr>
        <sz val="10"/>
        <rFont val="Arial"/>
        <family val="0"/>
        <charset val="1"/>
      </rPr>
      <t xml:space="preserve">3–5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9–11 </t>
    </r>
    <r>
      <rPr>
        <sz val="10"/>
        <rFont val="Arial"/>
        <family val="2"/>
      </rPr>
      <t xml:space="preserve">月</t>
    </r>
  </si>
  <si>
    <t xml:space="preserve">21–28°C</t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</si>
  <si>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×1.2</t>
    </r>
    <r>
      <rPr>
        <sz val="10"/>
        <rFont val="Arial"/>
        <family val="2"/>
      </rPr>
      <t xml:space="preserve">；滑倒機率 </t>
    </r>
    <r>
      <rPr>
        <sz val="10"/>
        <rFont val="Arial"/>
        <family val="0"/>
        <charset val="1"/>
      </rPr>
      <t xml:space="preserve">×1.5</t>
    </r>
  </si>
  <si>
    <t xml:space="preserve">午後一陣雨，地板濕濕的，走路要看路喔。</t>
  </si>
  <si>
    <t xml:space="preserve">梅雨季</t>
  </si>
  <si>
    <t xml:space="preserve">plumrain</t>
  </si>
  <si>
    <t xml:space="preserve">🌧️</t>
  </si>
  <si>
    <r>
      <rPr>
        <sz val="10"/>
        <rFont val="Arial"/>
        <family val="0"/>
        <charset val="1"/>
      </rPr>
      <t xml:space="preserve">5–6 </t>
    </r>
    <r>
      <rPr>
        <sz val="10"/>
        <rFont val="Arial"/>
        <family val="2"/>
      </rPr>
      <t xml:space="preserve">月</t>
    </r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</si>
  <si>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×1.25</t>
    </r>
    <r>
      <rPr>
        <sz val="10"/>
        <rFont val="Arial"/>
        <family val="2"/>
      </rPr>
      <t xml:space="preserve">；肩頸僵硬上班族來客 </t>
    </r>
    <r>
      <rPr>
        <sz val="10"/>
        <rFont val="Arial"/>
        <family val="0"/>
        <charset val="1"/>
      </rPr>
      <t xml:space="preserve">×0.9</t>
    </r>
    <r>
      <rPr>
        <sz val="10"/>
        <rFont val="Arial"/>
        <family val="2"/>
      </rPr>
      <t xml:space="preserve">；滑倒機率 </t>
    </r>
    <r>
      <rPr>
        <sz val="10"/>
        <rFont val="Arial"/>
        <family val="0"/>
        <charset val="1"/>
      </rPr>
      <t xml:space="preserve">×1.6</t>
    </r>
    <r>
      <rPr>
        <sz val="10"/>
        <rFont val="Arial"/>
        <family val="2"/>
      </rPr>
      <t xml:space="preserve">；員工體力消耗 </t>
    </r>
    <r>
      <rPr>
        <sz val="10"/>
        <rFont val="Arial"/>
        <family val="0"/>
        <charset val="1"/>
      </rPr>
      <t xml:space="preserve">+10%</t>
    </r>
  </si>
  <si>
    <t xml:space="preserve">梅雨下不停，衣服半乾不溼，關節也是。同仁說身體像泡過水。</t>
  </si>
  <si>
    <t xml:space="preserve">寒流來襲</t>
  </si>
  <si>
    <t xml:space="preserve">cold</t>
  </si>
  <si>
    <t xml:space="preserve">🥶</t>
  </si>
  <si>
    <t xml:space="preserve">8–16°C</t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</si>
  <si>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×1.6</t>
    </r>
    <r>
      <rPr>
        <sz val="10"/>
        <rFont val="Arial"/>
        <family val="2"/>
      </rPr>
      <t xml:space="preserve">；肩頸僵硬上班族來客 </t>
    </r>
    <r>
      <rPr>
        <sz val="10"/>
        <rFont val="Arial"/>
        <family val="0"/>
        <charset val="1"/>
      </rPr>
      <t xml:space="preserve">×0.95</t>
    </r>
    <r>
      <rPr>
        <sz val="10"/>
        <rFont val="Arial"/>
        <family val="2"/>
      </rPr>
      <t xml:space="preserve">；滑倒機率 </t>
    </r>
    <r>
      <rPr>
        <sz val="10"/>
        <rFont val="Arial"/>
        <family val="0"/>
        <charset val="1"/>
      </rPr>
      <t xml:space="preserve">×1.3</t>
    </r>
  </si>
  <si>
    <t xml:space="preserve">寒流來了！阿伯阿嬤的膝蓋和肩膀準時報到。</t>
  </si>
  <si>
    <t xml:space="preserve">炎夏高溫</t>
  </si>
  <si>
    <t xml:space="preserve">hot</t>
  </si>
  <si>
    <t xml:space="preserve">🥵</t>
  </si>
  <si>
    <t xml:space="preserve">31–38°C</t>
  </si>
  <si>
    <r>
      <rPr>
        <sz val="10"/>
        <rFont val="Arial"/>
        <family val="2"/>
      </rPr>
      <t xml:space="preserve">運動傷害病患來客 </t>
    </r>
    <r>
      <rPr>
        <sz val="10"/>
        <rFont val="Arial"/>
        <family val="0"/>
        <charset val="1"/>
      </rPr>
      <t xml:space="preserve">×0.8</t>
    </r>
    <r>
      <rPr>
        <sz val="10"/>
        <rFont val="Arial"/>
        <family val="2"/>
      </rPr>
      <t xml:space="preserve">；早療兒童與家長來客 </t>
    </r>
    <r>
      <rPr>
        <sz val="10"/>
        <rFont val="Arial"/>
        <family val="0"/>
        <charset val="1"/>
      </rPr>
      <t xml:space="preserve">×0.7</t>
    </r>
    <r>
      <rPr>
        <sz val="10"/>
        <rFont val="Arial"/>
        <family val="2"/>
      </rPr>
      <t xml:space="preserve">；晨間長輩團來客 </t>
    </r>
    <r>
      <rPr>
        <sz val="10"/>
        <rFont val="Arial"/>
        <family val="0"/>
        <charset val="1"/>
      </rPr>
      <t xml:space="preserve">×0.9</t>
    </r>
    <r>
      <rPr>
        <sz val="10"/>
        <rFont val="Arial"/>
        <family val="2"/>
      </rPr>
      <t xml:space="preserve">；滑倒機率不變；員工體力消耗 </t>
    </r>
    <r>
      <rPr>
        <sz val="10"/>
        <rFont val="Arial"/>
        <family val="0"/>
        <charset val="1"/>
      </rPr>
      <t xml:space="preserve">+20%</t>
    </r>
    <r>
      <rPr>
        <sz val="10"/>
        <rFont val="Arial"/>
        <family val="2"/>
      </rPr>
      <t xml:space="preserve">；來客量 −</t>
    </r>
    <r>
      <rPr>
        <sz val="10"/>
        <rFont val="Arial"/>
        <family val="0"/>
        <charset val="1"/>
      </rPr>
      <t xml:space="preserve">10%</t>
    </r>
  </si>
  <si>
    <t xml:space="preserve">熱到柏油路會軟，大家都躲在冷氣房裡，運動的人也少了。</t>
  </si>
  <si>
    <t xml:space="preserve">颱風警報</t>
  </si>
  <si>
    <t xml:space="preserve">typhoon</t>
  </si>
  <si>
    <t xml:space="preserve">🌀</t>
  </si>
  <si>
    <r>
      <rPr>
        <sz val="10"/>
        <rFont val="Arial"/>
        <family val="0"/>
        <charset val="1"/>
      </rPr>
      <t xml:space="preserve">7–10 </t>
    </r>
    <r>
      <rPr>
        <sz val="10"/>
        <rFont val="Arial"/>
        <family val="2"/>
      </rPr>
      <t xml:space="preserve">月</t>
    </r>
  </si>
  <si>
    <t xml:space="preserve">24–30°C</t>
  </si>
  <si>
    <r>
      <rPr>
        <sz val="10"/>
        <rFont val="Arial"/>
        <family val="2"/>
      </rPr>
      <t xml:space="preserve">滑倒機率 </t>
    </r>
    <r>
      <rPr>
        <sz val="10"/>
        <rFont val="Arial"/>
        <family val="0"/>
        <charset val="1"/>
      </rPr>
      <t xml:space="preserve">×1.2</t>
    </r>
    <r>
      <rPr>
        <sz val="10"/>
        <rFont val="Arial"/>
        <family val="2"/>
      </rPr>
      <t xml:space="preserve">；來客量 −</t>
    </r>
    <r>
      <rPr>
        <sz val="10"/>
        <rFont val="Arial"/>
        <family val="0"/>
        <charset val="1"/>
      </rPr>
      <t xml:space="preserve">60%</t>
    </r>
  </si>
  <si>
    <t xml:space="preserve">颱風天停班停課，病人都待在家，診所冷冷清清，只剩風在唱歌。</t>
  </si>
  <si>
    <t xml:space="preserve">觸發（病患的要求）</t>
  </si>
  <si>
    <t xml:space="preserve">適用病患</t>
  </si>
  <si>
    <t xml:space="preserve">病患要求直接開止痛藥／止痛針</t>
  </si>
  <si>
    <t xml:space="preserve">painkiller_elder</t>
  </si>
  <si>
    <t xml:space="preserve">「直接開止痛藥就好啦」</t>
  </si>
  <si>
    <t xml:space="preserve">晨間長輩團</t>
  </si>
  <si>
    <t xml:space="preserve">阿伯揉著膝蓋說：「醫生啊，不要囉嗦那麼多，你直接開止痛藥給我就好啦。」</t>
  </si>
  <si>
    <r>
      <rPr>
        <sz val="10"/>
        <rFont val="Arial"/>
        <family val="2"/>
      </rPr>
      <t xml:space="preserve">【好，先開止痛藥給你】
效果：聲譽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+8
</t>
    </r>
    <r>
      <rPr>
        <sz val="10"/>
        <rFont val="Arial"/>
        <family val="2"/>
      </rPr>
      <t xml:space="preserve">結果：阿伯笑瞇瞇拿藥走，三天後又回來說「還是痛」。你心裡有點酸酸的。</t>
    </r>
  </si>
  <si>
    <r>
      <rPr>
        <sz val="10"/>
        <rFont val="Arial"/>
        <family val="2"/>
      </rPr>
      <t xml:space="preserve">【先評估，再一起決定療程】
效果：聲譽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6
</t>
    </r>
    <r>
      <rPr>
        <sz val="10"/>
        <rFont val="Arial"/>
        <family val="2"/>
      </rPr>
      <t xml:space="preserve">結果：阿伯不太開心地嘟嚷：「我只是要藥。」但他還是乖乖躺上床做了評估。</t>
    </r>
  </si>
  <si>
    <t xml:space="preserve">painkiller_office</t>
  </si>
  <si>
    <t xml:space="preserve">「醫生，上班好忙，給我止痛藥啦」</t>
  </si>
  <si>
    <t xml:space="preserve">肩頸僵硬上班族</t>
  </si>
  <si>
    <t xml:space="preserve">上班族一臉疲憊：「醫生，我今天還要開會，你就給我一顆止痛藥，拜託。」</t>
  </si>
  <si>
    <r>
      <rPr>
        <sz val="10"/>
        <rFont val="Arial"/>
        <family val="2"/>
      </rPr>
      <t xml:space="preserve">【開藥，但也排個熱敷】
效果：聲譽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結果：他很感激你的熱敷，但回家路上還是覺得你「有點囉嗦」。</t>
    </r>
  </si>
  <si>
    <r>
      <rPr>
        <sz val="10"/>
        <rFont val="Arial"/>
        <family val="2"/>
      </rPr>
      <t xml:space="preserve">【告訴他止痛藥不能亂吃】
效果：聲譽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結果：他嘆了口氣說：「好吧，那我去買別家的。」你覺得自己做對了，但胃有點痛。</t>
    </r>
  </si>
  <si>
    <t xml:space="preserve">painkiller_sports</t>
  </si>
  <si>
    <t xml:space="preserve">「明天要比賽，打一針止痛針」</t>
  </si>
  <si>
    <t xml:space="preserve">運動傷害病患</t>
  </si>
  <si>
    <t xml:space="preserve">業餘選手的眼神很堅定：「醫生，明天就是大賽，你給我打一針，我不怕痛。」</t>
  </si>
  <si>
    <r>
      <rPr>
        <sz val="10"/>
        <rFont val="Arial"/>
        <family val="2"/>
      </rPr>
      <t xml:space="preserve">【不行，先評估傷勢再說】
效果：聲譽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4
</t>
    </r>
    <r>
      <rPr>
        <sz val="10"/>
        <rFont val="Arial"/>
        <family val="2"/>
      </rPr>
      <t xml:space="preserve">結果：選手很不爽地走了，但隔週他回來說：「還好你擋我，那天我真的會受傷。」</t>
    </r>
  </si>
  <si>
    <r>
      <rPr>
        <sz val="10"/>
        <rFont val="Arial"/>
        <family val="2"/>
      </rPr>
      <t xml:space="preserve">【打！他說不怕就讓他打】
效果：聲譽 −</t>
    </r>
    <r>
      <rPr>
        <sz val="10"/>
        <rFont val="Arial"/>
        <family val="0"/>
        <charset val="1"/>
      </rPr>
      <t xml:space="preserve">10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+10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200 </t>
    </r>
    <r>
      <rPr>
        <sz val="10"/>
        <rFont val="Arial"/>
        <family val="2"/>
      </rPr>
      <t xml:space="preserve">點（扣本月申報點數）
結果：比賽當天他拿了第三名，朋友們都說：「是你們診所的功勞！」傳言也因此開始走樣。</t>
    </r>
  </si>
  <si>
    <t xml:space="preserve">病患想跳過醫師評估，只要做電療或震波</t>
  </si>
  <si>
    <t xml:space="preserve">skip_doctor_elder</t>
  </si>
  <si>
    <t xml:space="preserve">「我只要電療，不要看醫生」</t>
  </si>
  <si>
    <t xml:space="preserve">阿嬤一進門就說：「我只要去躺電療，醫生就不用看啦，很麻煩耶。」</t>
  </si>
  <si>
    <r>
      <rPr>
        <sz val="10"/>
        <rFont val="Arial"/>
        <family val="2"/>
      </rPr>
      <t xml:space="preserve">【依規定，先看醫生再做電療】
效果：聲譽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5
</t>
    </r>
    <r>
      <rPr>
        <sz val="10"/>
        <rFont val="Arial"/>
        <family val="2"/>
      </rPr>
      <t xml:space="preserve">結果：阿嬤碎碎唸了半小時，最後還是乖乖去看醫生，她說：「好啦，醫生你很煩。」</t>
    </r>
  </si>
  <si>
    <r>
      <rPr>
        <sz val="10"/>
        <rFont val="Arial"/>
        <family val="2"/>
      </rPr>
      <t xml:space="preserve">【同意，但病歷上註記清楚】
效果：聲譽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200 </t>
    </r>
    <r>
      <rPr>
        <sz val="10"/>
        <rFont val="Arial"/>
        <family val="2"/>
      </rPr>
      <t xml:space="preserve">點（扣本月申報點數）
結果：阿嬤很開心地躺上電療床，你的良心卻被健保署的表格默默記了一筆。</t>
    </r>
  </si>
  <si>
    <t xml:space="preserve">skip_doctor_office</t>
  </si>
  <si>
    <t xml:space="preserve">「只想做震波，時間很趕」</t>
  </si>
  <si>
    <t xml:space="preserve">上班族看了看手錶：「醫生，我不想看醫生了，我直接做震波就好，我只有半小時。」</t>
  </si>
  <si>
    <r>
      <rPr>
        <sz val="10"/>
        <rFont val="Arial"/>
        <family val="2"/>
      </rPr>
      <t xml:space="preserve">【震波可以做，但要先過一下評估】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+2
</t>
    </r>
    <r>
      <rPr>
        <sz val="10"/>
        <rFont val="Arial"/>
        <family val="2"/>
      </rPr>
      <t xml:space="preserve">結果：他說「好吧，那就快一點」，評估花了五分鐘，震波打完他說：「還真有差！」</t>
    </r>
  </si>
  <si>
    <r>
      <rPr>
        <sz val="10"/>
        <rFont val="Arial"/>
        <family val="2"/>
      </rPr>
      <t xml:space="preserve">【收自費，直接排震波】
效果：資金 </t>
    </r>
    <r>
      <rPr>
        <sz val="10"/>
        <rFont val="Arial"/>
        <family val="0"/>
        <charset val="1"/>
      </rPr>
      <t xml:space="preserve">+NT$ 80,000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結果：收據很漂亮，但同事小聲說：「我們好像把流程跳過了。」</t>
    </r>
  </si>
  <si>
    <t xml:space="preserve">病患要求過度治療（次數或堂數超過建議）</t>
  </si>
  <si>
    <t xml:space="preserve">overtreat_elder</t>
  </si>
  <si>
    <t xml:space="preserve">「醫生，我想每天來做八次熱敷」</t>
  </si>
  <si>
    <t xml:space="preserve">阿伯很認真地問：「每天做八次熱敷，會不會比較快好？我可以每天都來吧？」</t>
  </si>
  <si>
    <r>
      <rPr>
        <sz val="10"/>
        <rFont val="Arial"/>
        <family val="2"/>
      </rPr>
      <t xml:space="preserve">【依病情調整頻率，每週幾次就好】
效果：聲譽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3
</t>
    </r>
    <r>
      <rPr>
        <sz val="10"/>
        <rFont val="Arial"/>
        <family val="2"/>
      </rPr>
      <t xml:space="preserve">結果：阿伯有點失望，但也慢慢接受：「原來不是越多越好喔。」</t>
    </r>
  </si>
  <si>
    <r>
      <rPr>
        <sz val="10"/>
        <rFont val="Arial"/>
        <family val="2"/>
      </rPr>
      <t xml:space="preserve">【好，每天做，收費照算】
效果：資金 </t>
    </r>
    <r>
      <rPr>
        <sz val="10"/>
        <rFont val="Arial"/>
        <family val="0"/>
        <charset val="1"/>
      </rPr>
      <t xml:space="preserve">+NT$ 120,000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8</t>
    </r>
    <r>
      <rPr>
        <sz val="10"/>
        <rFont val="Arial"/>
        <family val="2"/>
      </rPr>
      <t xml:space="preserve">、健保點數 −</t>
    </r>
    <r>
      <rPr>
        <sz val="10"/>
        <rFont val="Arial"/>
        <family val="0"/>
        <charset val="1"/>
      </rPr>
      <t xml:space="preserve">300 </t>
    </r>
    <r>
      <rPr>
        <sz val="10"/>
        <rFont val="Arial"/>
        <family val="2"/>
      </rPr>
      <t xml:space="preserve">點（扣本月申報點數）
結果：帳單很漂亮，健保署的審查委員看到的時候，眉毛挑得很高。</t>
    </r>
  </si>
  <si>
    <t xml:space="preserve">overtreat_self</t>
  </si>
  <si>
    <t xml:space="preserve">「我想一次買十堂震波課程」</t>
  </si>
  <si>
    <t xml:space="preserve">通用（同類情境隨機抽取）</t>
  </si>
  <si>
    <t xml:space="preserve">老闆一拍桌：「醫生，我想一次買十堂震波，有沒有折扣？我全部都要！」</t>
  </si>
  <si>
    <r>
      <rPr>
        <sz val="10"/>
        <rFont val="Arial"/>
        <family val="2"/>
      </rPr>
      <t xml:space="preserve">【依病情建議三堂就夠】
效果：聲譽 </t>
    </r>
    <r>
      <rPr>
        <sz val="10"/>
        <rFont val="Arial"/>
        <family val="0"/>
        <charset val="1"/>
      </rPr>
      <t xml:space="preserve">+3
</t>
    </r>
    <r>
      <rPr>
        <sz val="10"/>
        <rFont val="Arial"/>
        <family val="2"/>
      </rPr>
      <t xml:space="preserve">結果：老闆說：「醫生你很誠實耶，我下次介紹朋友來。」</t>
    </r>
  </si>
  <si>
    <r>
      <rPr>
        <sz val="10"/>
        <rFont val="Arial"/>
        <family val="2"/>
      </rPr>
      <t xml:space="preserve">【給他十堂，收錢收到手軟】
效果：資金 </t>
    </r>
    <r>
      <rPr>
        <sz val="10"/>
        <rFont val="Arial"/>
        <family val="0"/>
        <charset val="1"/>
      </rPr>
      <t xml:space="preserve">+NT$ 320,000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10
</t>
    </r>
    <r>
      <rPr>
        <sz val="10"/>
        <rFont val="Arial"/>
        <family val="2"/>
      </rPr>
      <t xml:space="preserve">結果：帳戶多了一大筆錢，但老闆做到第四堂就說不痛了，之後再也沒來過。</t>
    </r>
  </si>
  <si>
    <t xml:space="preserve">overtreat_kid</t>
  </si>
  <si>
    <t xml:space="preserve">「我家小孩每天都要來感統」</t>
  </si>
  <si>
    <t xml:space="preserve">早療兒童與家長</t>
  </si>
  <si>
    <t xml:space="preserve">家長很堅持：「我家小孩每天都要來做感統，他很愛玩球池，你可以排滿一點吧？」</t>
  </si>
  <si>
    <r>
      <rPr>
        <sz val="10"/>
        <rFont val="Arial"/>
        <family val="2"/>
      </rPr>
      <t xml:space="preserve">【依發展評估，一週兩到三次】
效果：聲譽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2
</t>
    </r>
    <r>
      <rPr>
        <sz val="10"/>
        <rFont val="Arial"/>
        <family val="2"/>
      </rPr>
      <t xml:space="preserve">結果：家長嘆氣說：「好吧，那週末可以多來一次嗎？」你說週末我們也有門診。</t>
    </r>
  </si>
  <si>
    <r>
      <rPr>
        <sz val="10"/>
        <rFont val="Arial"/>
        <family val="2"/>
      </rPr>
      <t xml:space="preserve">【每天排滿，收費照算】
效果：資金 </t>
    </r>
    <r>
      <rPr>
        <sz val="10"/>
        <rFont val="Arial"/>
        <family val="0"/>
        <charset val="1"/>
      </rPr>
      <t xml:space="preserve">+NT$ 160,000</t>
    </r>
    <r>
      <rPr>
        <sz val="10"/>
        <rFont val="Arial"/>
        <family val="2"/>
      </rPr>
      <t xml:space="preserve">、聲譽 −</t>
    </r>
    <r>
      <rPr>
        <sz val="10"/>
        <rFont val="Arial"/>
        <family val="0"/>
        <charset val="1"/>
      </rPr>
      <t xml:space="preserve">6
</t>
    </r>
    <r>
      <rPr>
        <sz val="10"/>
        <rFont val="Arial"/>
        <family val="2"/>
      </rPr>
      <t xml:space="preserve">結果：小朋友玩得超開心，但家長在群組裡問：「為什麼感統一定要每天來？」</t>
    </r>
  </si>
  <si>
    <t xml:space="preserve">病患當面投訴（等太久、收費、機器、態度）</t>
  </si>
  <si>
    <t xml:space="preserve">complain_wait</t>
  </si>
  <si>
    <t xml:space="preserve">「等了一個半小時，你們怎麼排的！」</t>
  </si>
  <si>
    <t xml:space="preserve">阿姨拍著掛號櫃檯大喊：「我一個半小時了耶！你們到底是怎麼排班的啦！」</t>
  </si>
  <si>
    <r>
      <rPr>
        <sz val="10"/>
        <rFont val="Arial"/>
        <family val="2"/>
      </rPr>
      <t xml:space="preserve">【真誠道歉，免費加送一次熱敷】
效果：資金 −</t>
    </r>
    <r>
      <rPr>
        <sz val="10"/>
        <rFont val="Arial"/>
        <family val="0"/>
        <charset val="1"/>
      </rPr>
      <t xml:space="preserve">NT$ 32,000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+10
</t>
    </r>
    <r>
      <rPr>
        <sz val="10"/>
        <rFont val="Arial"/>
        <family val="2"/>
      </rPr>
      <t xml:space="preserve">結果：阿姨嘴上說「下次不要這樣」，但熱敷時已經靠在枕頭上打呼了。</t>
    </r>
  </si>
  <si>
    <r>
      <rPr>
        <sz val="10"/>
        <rFont val="Arial"/>
        <family val="2"/>
      </rPr>
      <t xml:space="preserve">【解釋今天很忙，請她耐心等】
效果：聲譽 −</t>
    </r>
    <r>
      <rPr>
        <sz val="10"/>
        <rFont val="Arial"/>
        <family val="0"/>
        <charset val="1"/>
      </rPr>
      <t xml:space="preserve">6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15
</t>
    </r>
    <r>
      <rPr>
        <sz val="10"/>
        <rFont val="Arial"/>
        <family val="2"/>
      </rPr>
      <t xml:space="preserve">結果：阿姨說：「我下次去大醫院！」背影有種不回頭的堅定。</t>
    </r>
  </si>
  <si>
    <t xml:space="preserve">complain_price</t>
  </si>
  <si>
    <t xml:space="preserve">「為什麼要自費？健保不能做嗎？」</t>
  </si>
  <si>
    <t xml:space="preserve">阿伯看著自費單，眉頭皺成一團：「醫生，健保不能做嗎？為什麼要我自己付錢？」</t>
  </si>
  <si>
    <r>
      <rPr>
        <sz val="10"/>
        <rFont val="Arial"/>
        <family val="2"/>
      </rPr>
      <t xml:space="preserve">【說明健保與自費差異，附上書面說明】
效果：聲譽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+4
</t>
    </r>
    <r>
      <rPr>
        <sz val="10"/>
        <rFont val="Arial"/>
        <family val="2"/>
      </rPr>
      <t xml:space="preserve">結果：阿伯看完說：「原來是這樣，我還以為你們是在騙錢。」你默默把說明書多印了五十張。</t>
    </r>
  </si>
  <si>
    <r>
      <rPr>
        <sz val="10"/>
        <rFont val="Arial"/>
        <family val="2"/>
      </rPr>
      <t xml:space="preserve">【直接說健保沒有這項】
效果：聲譽 −</t>
    </r>
    <r>
      <rPr>
        <sz val="10"/>
        <rFont val="Arial"/>
        <family val="0"/>
        <charset val="1"/>
      </rPr>
      <t xml:space="preserve">3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6
</t>
    </r>
    <r>
      <rPr>
        <sz val="10"/>
        <rFont val="Arial"/>
        <family val="2"/>
      </rPr>
      <t xml:space="preserve">結果：阿伯不滿地走了，但他家的小孫子在候診區偷偷把這句話錄起來。</t>
    </r>
  </si>
  <si>
    <r>
      <rPr>
        <sz val="10"/>
        <rFont val="Arial"/>
        <family val="2"/>
      </rPr>
      <t xml:space="preserve">【這次先不收費，給個人情】
效果：資金 −</t>
    </r>
    <r>
      <rPr>
        <sz val="10"/>
        <rFont val="Arial"/>
        <family val="0"/>
        <charset val="1"/>
      </rPr>
      <t xml:space="preserve">NT$ 60,000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+8
</t>
    </r>
    <r>
      <rPr>
        <sz val="10"/>
        <rFont val="Arial"/>
        <family val="2"/>
      </rPr>
      <t xml:space="preserve">結果：阿伯很感動，回去跟鄰居說你們「很有人情味」，但你的帳本少了一筆。</t>
    </r>
  </si>
  <si>
    <t xml:space="preserve">complain_noisy</t>
  </si>
  <si>
    <t xml:space="preserve">「電療機器嗡嗡叫，我頭很痛」</t>
  </si>
  <si>
    <t xml:space="preserve">阿嬤躺在電療床上皺眉：「醫生，這台機器一直嗡嗡叫，我頭好痛，是不是壞了？」</t>
  </si>
  <si>
    <r>
      <rPr>
        <sz val="10"/>
        <rFont val="Arial"/>
        <family val="2"/>
      </rPr>
      <t xml:space="preserve">【換一台新機器，給她看】
效果：資金 −</t>
    </r>
    <r>
      <rPr>
        <sz val="10"/>
        <rFont val="Arial"/>
        <family val="0"/>
        <charset val="1"/>
      </rPr>
      <t xml:space="preserve">NT$ 240,000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+2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+6
</t>
    </r>
    <r>
      <rPr>
        <sz val="10"/>
        <rFont val="Arial"/>
        <family val="2"/>
      </rPr>
      <t xml:space="preserve">結果：阿嬤摸著新機器說：「這台比較安靜，好很多。」你偷偷把舊機器的螺絲拆下來留著。</t>
    </r>
  </si>
  <si>
    <r>
      <rPr>
        <sz val="10"/>
        <rFont val="Arial"/>
        <family val="2"/>
      </rPr>
      <t xml:space="preserve">【請她忍耐一下，治療很快就好】
效果：聲譽 −</t>
    </r>
    <r>
      <rPr>
        <sz val="10"/>
        <rFont val="Arial"/>
        <family val="0"/>
        <charset val="1"/>
      </rPr>
      <t xml:space="preserve">2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結果：阿嬤嘆氣：「忍耐、忍耐，我都忍一輩子了。」你覺得這句話好重。</t>
    </r>
  </si>
  <si>
    <t xml:space="preserve">complain_staff</t>
  </si>
  <si>
    <t xml:space="preserve">「你們護理師態度很差！」</t>
  </si>
  <si>
    <t xml:space="preserve">一位病人投訴護理師講話太大聲，還說「你們是在趕人嗎？」</t>
  </si>
  <si>
    <r>
      <rPr>
        <sz val="10"/>
        <rFont val="Arial"/>
        <family val="2"/>
      </rPr>
      <t xml:space="preserve">【調查後處理，當面道歉】
效果：資金 −</t>
    </r>
    <r>
      <rPr>
        <sz val="10"/>
        <rFont val="Arial"/>
        <family val="0"/>
        <charset val="1"/>
      </rPr>
      <t xml:space="preserve">NT$ 20,000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、該病患滿意度 </t>
    </r>
    <r>
      <rPr>
        <sz val="10"/>
        <rFont val="Arial"/>
        <family val="0"/>
        <charset val="1"/>
      </rPr>
      <t xml:space="preserve">+5
</t>
    </r>
    <r>
      <rPr>
        <sz val="10"/>
        <rFont val="Arial"/>
        <family val="2"/>
      </rPr>
      <t xml:space="preserve">結果：護理師紅著眼眶說：「我以後會注意語氣。」病人說：「有道歉就好。」</t>
    </r>
  </si>
  <si>
    <r>
      <rPr>
        <sz val="10"/>
        <rFont val="Arial"/>
        <family val="2"/>
      </rPr>
      <t xml:space="preserve">【護理師沒有錯，請病人多包涵】
效果：聲譽 −</t>
    </r>
    <r>
      <rPr>
        <sz val="10"/>
        <rFont val="Arial"/>
        <family val="0"/>
        <charset val="1"/>
      </rPr>
      <t xml:space="preserve">4</t>
    </r>
    <r>
      <rPr>
        <sz val="10"/>
        <rFont val="Arial"/>
        <family val="2"/>
      </rPr>
      <t xml:space="preserve">、該病患滿意度 −</t>
    </r>
    <r>
      <rPr>
        <sz val="10"/>
        <rFont val="Arial"/>
        <family val="0"/>
        <charset val="1"/>
      </rPr>
      <t xml:space="preserve">8
</t>
    </r>
    <r>
      <rPr>
        <sz val="10"/>
        <rFont val="Arial"/>
        <family val="2"/>
      </rPr>
      <t xml:space="preserve">結果：病人在網路上寫了一篇長文，標題是「這家診所，我不推」。</t>
    </r>
  </si>
  <si>
    <t xml:space="preserve">活動</t>
  </si>
  <si>
    <t xml:space="preserve">說明</t>
  </si>
  <si>
    <r>
      <rPr>
        <b val="true"/>
        <sz val="10"/>
        <color rgb="FFFFFFFF"/>
        <rFont val="Arial"/>
        <family val="2"/>
      </rPr>
      <t xml:space="preserve">費用（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Arial"/>
        <family val="2"/>
      </rPr>
      <t xml:space="preserve">）</t>
    </r>
  </si>
  <si>
    <t xml:space="preserve">持續（週）</t>
  </si>
  <si>
    <t xml:space="preserve">冷卻（週，開辦後）</t>
  </si>
  <si>
    <t xml:space="preserve">立即效果</t>
  </si>
  <si>
    <t xml:space="preserve">活動期間效果</t>
  </si>
  <si>
    <t xml:space="preserve">宮廟肌少症篩檢</t>
  </si>
  <si>
    <t xml:space="preserve">temple_sarcopenia</t>
  </si>
  <si>
    <t xml:space="preserve">廟埕擺攤量握力、測步速，阿嬤們排隊排到拜拜的香爐旁。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</si>
  <si>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+5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</si>
  <si>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+30%</t>
    </r>
  </si>
  <si>
    <t xml:space="preserve">社區衛教講座</t>
  </si>
  <si>
    <t xml:space="preserve">health_talk</t>
  </si>
  <si>
    <t xml:space="preserve">社區活動中心的小講座，教大家正確的姿勢與熱敷觀念。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</si>
  <si>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+8</t>
    </r>
  </si>
  <si>
    <r>
      <rPr>
        <sz val="10"/>
        <rFont val="Arial"/>
        <family val="2"/>
      </rPr>
      <t xml:space="preserve">肩頸僵硬上班族來客 </t>
    </r>
    <r>
      <rPr>
        <sz val="10"/>
        <rFont val="Arial"/>
        <family val="0"/>
        <charset val="1"/>
      </rPr>
      <t xml:space="preserve">+10%</t>
    </r>
    <r>
      <rPr>
        <sz val="10"/>
        <rFont val="Arial"/>
        <family val="2"/>
      </rPr>
      <t xml:space="preserve">、晨間長輩團來客 </t>
    </r>
    <r>
      <rPr>
        <sz val="10"/>
        <rFont val="Arial"/>
        <family val="0"/>
        <charset val="1"/>
      </rPr>
      <t xml:space="preserve">+10%</t>
    </r>
  </si>
  <si>
    <t xml:space="preserve">校園脊椎側彎篩檢</t>
  </si>
  <si>
    <t xml:space="preserve">school_scoliosis</t>
  </si>
  <si>
    <t xml:space="preserve">國小體檢後來一波側彎篩檢，家長聽到「要不要來看看」都緊張兮兮。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</si>
  <si>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+10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</si>
  <si>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2"/>
      </rPr>
      <t xml:space="preserve">早療兒童與家長來客 </t>
    </r>
    <r>
      <rPr>
        <sz val="10"/>
        <rFont val="Arial"/>
        <family val="0"/>
        <charset val="1"/>
      </rPr>
      <t xml:space="preserve">+40%</t>
    </r>
  </si>
  <si>
    <t xml:space="preserve">公司健康促進講座</t>
  </si>
  <si>
    <t xml:space="preserve">company_health</t>
  </si>
  <si>
    <t xml:space="preserve">到科技公司的會議室講坐著工作的痠痛，同仁一邊聽一邊偷偷伸懶腰。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</si>
  <si>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+4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+8</t>
    </r>
  </si>
  <si>
    <r>
      <rPr>
        <sz val="10"/>
        <rFont val="Arial"/>
        <family val="2"/>
      </rPr>
      <t xml:space="preserve">肩頸僵硬上班族來客 </t>
    </r>
    <r>
      <rPr>
        <sz val="10"/>
        <rFont val="Arial"/>
        <family val="0"/>
        <charset val="1"/>
      </rPr>
      <t xml:space="preserve">+35%</t>
    </r>
  </si>
  <si>
    <t xml:space="preserve">里民健走活動</t>
  </si>
  <si>
    <t xml:space="preserve">village_walk</t>
  </si>
  <si>
    <t xml:space="preserve">每天早上繞里內走一圈，阿伯阿嬤帶著保溫杯，運動員也跟著跑。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</si>
  <si>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</si>
  <si>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+20%</t>
    </r>
    <r>
      <rPr>
        <sz val="10"/>
        <rFont val="Arial"/>
        <family val="2"/>
      </rPr>
      <t xml:space="preserve">、運動傷害病患來客 </t>
    </r>
    <r>
      <rPr>
        <sz val="10"/>
        <rFont val="Arial"/>
        <family val="0"/>
        <charset val="1"/>
      </rPr>
      <t xml:space="preserve">+20%</t>
    </r>
  </si>
  <si>
    <t xml:space="preserve">長照據點合作</t>
  </si>
  <si>
    <t xml:space="preserve">ltc_partner</t>
  </si>
  <si>
    <t xml:space="preserve">和社區長照據點簽約，每週定期去帶動能運動，阿嬤們說比去大樓下棋還好玩。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</si>
  <si>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+12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+20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</si>
  <si>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2"/>
      </rPr>
      <t xml:space="preserve">晨間長輩團來客 </t>
    </r>
    <r>
      <rPr>
        <sz val="10"/>
        <rFont val="Arial"/>
        <family val="0"/>
        <charset val="1"/>
      </rPr>
      <t xml:space="preserve">+50%</t>
    </r>
  </si>
  <si>
    <t xml:space="preserve">夜市路跑熱身站</t>
  </si>
  <si>
    <t xml:space="preserve">night_run</t>
  </si>
  <si>
    <t xml:space="preserve">在夜市出口設熱身站，發小冰棒、貼運動貼布，順便幫跑者看看膝蓋。</t>
  </si>
  <si>
    <r>
      <rPr>
        <sz val="10"/>
        <rFont val="Arial"/>
        <family val="2"/>
      </rPr>
      <t xml:space="preserve">聲譽 </t>
    </r>
    <r>
      <rPr>
        <sz val="10"/>
        <rFont val="Arial"/>
        <family val="0"/>
        <charset val="1"/>
      </rPr>
      <t xml:space="preserve">+6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</si>
  <si>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2"/>
      </rPr>
      <t xml:space="preserve">運動傷害病患來客 </t>
    </r>
    <r>
      <rPr>
        <sz val="10"/>
        <rFont val="Arial"/>
        <family val="0"/>
        <charset val="1"/>
      </rPr>
      <t xml:space="preserve">+40%</t>
    </r>
  </si>
  <si>
    <t xml:space="preserve">看板</t>
  </si>
  <si>
    <r>
      <rPr>
        <b val="true"/>
        <sz val="10"/>
        <color rgb="FFFFFFFF"/>
        <rFont val="Arial"/>
        <family val="2"/>
      </rPr>
      <t xml:space="preserve">安裝費（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Arial"/>
        <family val="2"/>
      </rPr>
      <t xml:space="preserve">，一次）</t>
    </r>
  </si>
  <si>
    <r>
      <rPr>
        <b val="true"/>
        <sz val="10"/>
        <color rgb="FFFFFFFF"/>
        <rFont val="Arial"/>
        <family val="2"/>
      </rPr>
      <t xml:space="preserve">每月維護費（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Arial"/>
        <family val="2"/>
      </rPr>
      <t xml:space="preserve">）</t>
    </r>
  </si>
  <si>
    <t xml:space="preserve">效果（看板開啟期間）</t>
  </si>
  <si>
    <t xml:space="preserve">護腰護膝篇</t>
  </si>
  <si>
    <t xml:space="preserve">back_knee</t>
  </si>
  <si>
    <t xml:space="preserve">看板教大家躺下、起身的正確姿勢，候診的人看著看著就忘了等待的煩躁。</t>
  </si>
  <si>
    <r>
      <rPr>
        <sz val="10"/>
        <rFont val="Arial"/>
        <family val="2"/>
      </rPr>
      <t xml:space="preserve">病患耐心 </t>
    </r>
    <r>
      <rPr>
        <sz val="10"/>
        <rFont val="Arial"/>
        <family val="0"/>
        <charset val="1"/>
      </rPr>
      <t xml:space="preserve">+5%</t>
    </r>
  </si>
  <si>
    <t xml:space="preserve">冷熱敷觀念</t>
  </si>
  <si>
    <t xml:space="preserve">hot_cold</t>
  </si>
  <si>
    <t xml:space="preserve">急性扭傷先冰、慢性痠痛才熱，看板講得很白話，大家都說「原來如此」。</t>
  </si>
  <si>
    <r>
      <rPr>
        <sz val="10"/>
        <rFont val="Arial"/>
        <family val="2"/>
      </rPr>
      <t xml:space="preserve">自費轉換率 </t>
    </r>
    <r>
      <rPr>
        <sz val="10"/>
        <rFont val="Arial"/>
        <family val="0"/>
        <charset val="1"/>
      </rPr>
      <t xml:space="preserve">+2%</t>
    </r>
  </si>
  <si>
    <t xml:space="preserve">兒童發展里程碑</t>
  </si>
  <si>
    <t xml:space="preserve">kid_milestone</t>
  </si>
  <si>
    <t xml:space="preserve">幾個月會翻身、幾歲會跑跳，家長對照著看，焦慮少了，來問問題的也變多了。</t>
  </si>
  <si>
    <r>
      <rPr>
        <sz val="10"/>
        <rFont val="Arial"/>
        <family val="2"/>
      </rPr>
      <t xml:space="preserve">病患耐心 </t>
    </r>
    <r>
      <rPr>
        <sz val="10"/>
        <rFont val="Arial"/>
        <family val="0"/>
        <charset val="1"/>
      </rPr>
      <t xml:space="preserve">+5%</t>
    </r>
    <r>
      <rPr>
        <sz val="10"/>
        <rFont val="Arial"/>
        <family val="2"/>
      </rPr>
      <t xml:space="preserve">、點數獲得 </t>
    </r>
    <r>
      <rPr>
        <sz val="10"/>
        <rFont val="Arial"/>
        <family val="0"/>
        <charset val="1"/>
      </rPr>
      <t xml:space="preserve">+2%</t>
    </r>
  </si>
  <si>
    <t xml:space="preserve">長者防跌五招</t>
  </si>
  <si>
    <t xml:space="preserve">elder_fall</t>
  </si>
  <si>
    <r>
      <rPr>
        <sz val="10"/>
        <rFont val="Arial"/>
        <family val="2"/>
      </rPr>
      <t xml:space="preserve">起床先坐五秒、浴室加扶手、拖鞋要穿好。阿嬤拍照存進 </t>
    </r>
    <r>
      <rPr>
        <sz val="10"/>
        <rFont val="Arial"/>
        <family val="0"/>
        <charset val="1"/>
      </rPr>
      <t xml:space="preserve">LINE </t>
    </r>
    <r>
      <rPr>
        <sz val="10"/>
        <rFont val="Arial"/>
        <family val="2"/>
      </rPr>
      <t xml:space="preserve">群組。</t>
    </r>
  </si>
  <si>
    <r>
      <rPr>
        <sz val="10"/>
        <rFont val="Arial"/>
        <family val="2"/>
      </rPr>
      <t xml:space="preserve">滑倒風險 −</t>
    </r>
    <r>
      <rPr>
        <sz val="10"/>
        <rFont val="Arial"/>
        <family val="0"/>
        <charset val="1"/>
      </rPr>
      <t xml:space="preserve">10%</t>
    </r>
    <r>
      <rPr>
        <sz val="10"/>
        <rFont val="Arial"/>
        <family val="2"/>
      </rPr>
      <t xml:space="preserve">、長輩滿意度 </t>
    </r>
    <r>
      <rPr>
        <sz val="10"/>
        <rFont val="Arial"/>
        <family val="0"/>
        <charset val="1"/>
      </rPr>
      <t xml:space="preserve">+2</t>
    </r>
  </si>
  <si>
    <t xml:space="preserve">自費項目說明</t>
  </si>
  <si>
    <t xml:space="preserve">selfpay_explain</t>
  </si>
  <si>
    <t xml:space="preserve">健保與自費差在哪、值不值得，寫清楚講明白，「為什麼要自費」少被問一次。</t>
  </si>
  <si>
    <r>
      <rPr>
        <sz val="10"/>
        <rFont val="Arial"/>
        <family val="2"/>
      </rPr>
      <t xml:space="preserve">自費轉換率 </t>
    </r>
    <r>
      <rPr>
        <sz val="10"/>
        <rFont val="Arial"/>
        <family val="0"/>
        <charset val="1"/>
      </rPr>
      <t xml:space="preserve">+4%</t>
    </r>
  </si>
  <si>
    <t xml:space="preserve">長輩營養與肌少症</t>
  </si>
  <si>
    <t xml:space="preserve">elder_nutrition</t>
  </si>
  <si>
    <t xml:space="preserve">吃足蛋白質、多曬太陽、動一動。阿公說：「原來不是老了才會沒力。」</t>
  </si>
  <si>
    <r>
      <rPr>
        <sz val="10"/>
        <rFont val="Arial"/>
        <family val="2"/>
      </rPr>
      <t xml:space="preserve">長輩滿意度 </t>
    </r>
    <r>
      <rPr>
        <sz val="10"/>
        <rFont val="Arial"/>
        <family val="0"/>
        <charset val="1"/>
      </rPr>
      <t xml:space="preserve">+3</t>
    </r>
  </si>
  <si>
    <t xml:space="preserve">久坐族的頸肩操</t>
  </si>
  <si>
    <t xml:space="preserve">office_posture</t>
  </si>
  <si>
    <t xml:space="preserve">每小時起來伸個懶腰，看板上的小人偶跟你一起抖肩。上班族笑著拍了照。</t>
  </si>
  <si>
    <r>
      <rPr>
        <sz val="10"/>
        <rFont val="Arial"/>
        <family val="2"/>
      </rPr>
      <t xml:space="preserve">病患耐心 </t>
    </r>
    <r>
      <rPr>
        <sz val="10"/>
        <rFont val="Arial"/>
        <family val="0"/>
        <charset val="1"/>
      </rPr>
      <t xml:space="preserve">+3%</t>
    </r>
    <r>
      <rPr>
        <sz val="10"/>
        <rFont val="Arial"/>
        <family val="2"/>
      </rPr>
      <t xml:space="preserve">、自費轉換率 </t>
    </r>
    <r>
      <rPr>
        <sz val="10"/>
        <rFont val="Arial"/>
        <family val="0"/>
        <charset val="1"/>
      </rPr>
      <t xml:space="preserve">+1%</t>
    </r>
  </si>
  <si>
    <t xml:space="preserve">階層</t>
  </si>
  <si>
    <t xml:space="preserve">階層序</t>
  </si>
  <si>
    <t xml:space="preserve">條件</t>
  </si>
  <si>
    <r>
      <rPr>
        <b val="true"/>
        <sz val="10"/>
        <color rgb="FFFFFFFF"/>
        <rFont val="Arial"/>
        <family val="2"/>
      </rPr>
      <t xml:space="preserve">獎勵：資金（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Arial"/>
        <family val="2"/>
      </rPr>
      <t xml:space="preserve">）</t>
    </r>
  </si>
  <si>
    <t xml:space="preserve">獎勵：聲譽</t>
  </si>
  <si>
    <t xml:space="preserve">獎勵：點數種類</t>
  </si>
  <si>
    <t xml:space="preserve">獎勵：點數</t>
  </si>
  <si>
    <t xml:space="preserve">獎勵摘要</t>
  </si>
  <si>
    <t xml:space="preserve">徽章</t>
  </si>
  <si>
    <t xml:space="preserve">附贈稱號</t>
  </si>
  <si>
    <t xml:space="preserve">隱藏</t>
  </si>
  <si>
    <t xml:space="preserve">提示（隱藏成就）</t>
  </si>
  <si>
    <t xml:space="preserve">進度（目標）</t>
  </si>
  <si>
    <t xml:space="preserve">經營里程碑</t>
  </si>
  <si>
    <t xml:space="preserve">開張大吉</t>
  </si>
  <si>
    <t xml:space="preserve">m_first_month</t>
  </si>
  <si>
    <t xml:space="preserve">銅</t>
  </si>
  <si>
    <t xml:space="preserve">完成第一次月底健保結算。</t>
  </si>
  <si>
    <t xml:space="preserve">服務</t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</si>
  <si>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+NT$ 10,000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+8</t>
    </r>
  </si>
  <si>
    <t xml:space="preserve">🎉</t>
  </si>
  <si>
    <t xml:space="preserve">第一桶金</t>
  </si>
  <si>
    <t xml:space="preserve">m_cash_2m</t>
  </si>
  <si>
    <r>
      <rPr>
        <sz val="10"/>
        <rFont val="Arial"/>
        <family val="2"/>
      </rPr>
      <t xml:space="preserve">資金累積到 </t>
    </r>
    <r>
      <rPr>
        <sz val="10"/>
        <rFont val="Arial"/>
        <family val="0"/>
        <charset val="1"/>
      </rPr>
      <t xml:space="preserve">NT$ 2,000,000 </t>
    </r>
    <r>
      <rPr>
        <sz val="10"/>
        <rFont val="Arial"/>
        <family val="2"/>
      </rPr>
      <t xml:space="preserve">以上。</t>
    </r>
  </si>
  <si>
    <t xml:space="preserve">💰</t>
  </si>
  <si>
    <r>
      <rPr>
        <sz val="10"/>
        <rFont val="Arial"/>
        <family val="2"/>
      </rPr>
      <t xml:space="preserve">資金（目標 </t>
    </r>
    <r>
      <rPr>
        <sz val="10"/>
        <rFont val="Arial"/>
        <family val="0"/>
        <charset val="1"/>
      </rPr>
      <t xml:space="preserve">2,000,000</t>
    </r>
    <r>
      <rPr>
        <sz val="10"/>
        <rFont val="Arial"/>
        <family val="2"/>
      </rPr>
      <t xml:space="preserve">）</t>
    </r>
  </si>
  <si>
    <t xml:space="preserve">千萬院長</t>
  </si>
  <si>
    <t xml:space="preserve">m_cash_10m</t>
  </si>
  <si>
    <t xml:space="preserve">金</t>
  </si>
  <si>
    <r>
      <rPr>
        <sz val="10"/>
        <rFont val="Arial"/>
        <family val="2"/>
      </rPr>
      <t xml:space="preserve">資金累積到 </t>
    </r>
    <r>
      <rPr>
        <sz val="10"/>
        <rFont val="Arial"/>
        <family val="0"/>
        <charset val="1"/>
      </rPr>
      <t xml:space="preserve">NT$ 10,000,000 </t>
    </r>
    <r>
      <rPr>
        <sz val="10"/>
        <rFont val="Arial"/>
        <family val="2"/>
      </rPr>
      <t xml:space="preserve">以上。</t>
    </r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</si>
  <si>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+NT$ 150,000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+10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+30</t>
    </r>
  </si>
  <si>
    <t xml:space="preserve">💎</t>
  </si>
  <si>
    <r>
      <rPr>
        <sz val="10"/>
        <rFont val="Arial"/>
        <family val="2"/>
      </rPr>
      <t xml:space="preserve">資金（目標 </t>
    </r>
    <r>
      <rPr>
        <sz val="10"/>
        <rFont val="Arial"/>
        <family val="0"/>
        <charset val="1"/>
      </rPr>
      <t xml:space="preserve">10,000,000</t>
    </r>
    <r>
      <rPr>
        <sz val="10"/>
        <rFont val="Arial"/>
        <family val="2"/>
      </rPr>
      <t xml:space="preserve">）</t>
    </r>
  </si>
  <si>
    <t xml:space="preserve">百人次</t>
  </si>
  <si>
    <t xml:space="preserve">m_pat_100</t>
  </si>
  <si>
    <r>
      <rPr>
        <sz val="10"/>
        <rFont val="Arial"/>
        <family val="2"/>
      </rPr>
      <t xml:space="preserve">累計服務 </t>
    </r>
    <r>
      <rPr>
        <sz val="10"/>
        <rFont val="Arial"/>
        <family val="0"/>
        <charset val="1"/>
      </rPr>
      <t xml:space="preserve">100 </t>
    </r>
    <r>
      <rPr>
        <sz val="10"/>
        <rFont val="Arial"/>
        <family val="2"/>
      </rPr>
      <t xml:space="preserve">位病患。</t>
    </r>
  </si>
  <si>
    <t xml:space="preserve">👥</t>
  </si>
  <si>
    <r>
      <rPr>
        <sz val="10"/>
        <rFont val="Arial"/>
        <family val="2"/>
      </rPr>
      <t xml:space="preserve">累計服務病患（目標 </t>
    </r>
    <r>
      <rPr>
        <sz val="10"/>
        <rFont val="Arial"/>
        <family val="0"/>
        <charset val="1"/>
      </rPr>
      <t xml:space="preserve">100</t>
    </r>
    <r>
      <rPr>
        <sz val="10"/>
        <rFont val="Arial"/>
        <family val="2"/>
      </rPr>
      <t xml:space="preserve">）</t>
    </r>
  </si>
  <si>
    <t xml:space="preserve">千人次</t>
  </si>
  <si>
    <t xml:space="preserve">m_pat_1000</t>
  </si>
  <si>
    <t xml:space="preserve">銀</t>
  </si>
  <si>
    <r>
      <rPr>
        <sz val="10"/>
        <rFont val="Arial"/>
        <family val="2"/>
      </rPr>
      <t xml:space="preserve">累計服務 </t>
    </r>
    <r>
      <rPr>
        <sz val="10"/>
        <rFont val="Arial"/>
        <family val="0"/>
        <charset val="1"/>
      </rPr>
      <t xml:space="preserve">1,000 </t>
    </r>
    <r>
      <rPr>
        <sz val="10"/>
        <rFont val="Arial"/>
        <family val="2"/>
      </rPr>
      <t xml:space="preserve">位病患。</t>
    </r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</si>
  <si>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+NT$ 35,000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、服務點數 </t>
    </r>
    <r>
      <rPr>
        <sz val="10"/>
        <rFont val="Arial"/>
        <family val="0"/>
        <charset val="1"/>
      </rPr>
      <t xml:space="preserve">+15</t>
    </r>
  </si>
  <si>
    <r>
      <rPr>
        <sz val="10"/>
        <rFont val="Arial"/>
        <family val="2"/>
      </rPr>
      <t xml:space="preserve">累計服務病患（目標 </t>
    </r>
    <r>
      <rPr>
        <sz val="10"/>
        <rFont val="Arial"/>
        <family val="0"/>
        <charset val="1"/>
      </rPr>
      <t xml:space="preserve">1,000</t>
    </r>
    <r>
      <rPr>
        <sz val="10"/>
        <rFont val="Arial"/>
        <family val="2"/>
      </rPr>
      <t xml:space="preserve">）</t>
    </r>
  </si>
  <si>
    <t xml:space="preserve">五千人次</t>
  </si>
  <si>
    <t xml:space="preserve">m_pat_5000</t>
  </si>
  <si>
    <r>
      <rPr>
        <sz val="10"/>
        <rFont val="Arial"/>
        <family val="2"/>
      </rPr>
      <t xml:space="preserve">累計服務 </t>
    </r>
    <r>
      <rPr>
        <sz val="10"/>
        <rFont val="Arial"/>
        <family val="0"/>
        <charset val="1"/>
      </rPr>
      <t xml:space="preserve">5,000 </t>
    </r>
    <r>
      <rPr>
        <sz val="10"/>
        <rFont val="Arial"/>
        <family val="2"/>
      </rPr>
      <t xml:space="preserve">位病患。</t>
    </r>
  </si>
  <si>
    <t xml:space="preserve">🌟</t>
  </si>
  <si>
    <t xml:space="preserve">在地萬人迷</t>
  </si>
  <si>
    <r>
      <rPr>
        <sz val="10"/>
        <rFont val="Arial"/>
        <family val="2"/>
      </rPr>
      <t xml:space="preserve">累計服務病患（目標 </t>
    </r>
    <r>
      <rPr>
        <sz val="10"/>
        <rFont val="Arial"/>
        <family val="0"/>
        <charset val="1"/>
      </rPr>
      <t xml:space="preserve">5,000</t>
    </r>
    <r>
      <rPr>
        <sz val="10"/>
        <rFont val="Arial"/>
        <family val="2"/>
      </rPr>
      <t xml:space="preserve">）</t>
    </r>
  </si>
  <si>
    <t xml:space="preserve">妙手回春</t>
  </si>
  <si>
    <t xml:space="preserve">m_cured_100</t>
  </si>
  <si>
    <r>
      <rPr>
        <sz val="10"/>
        <rFont val="Arial"/>
        <family val="2"/>
      </rPr>
      <t xml:space="preserve">累計治癒 </t>
    </r>
    <r>
      <rPr>
        <sz val="10"/>
        <rFont val="Arial"/>
        <family val="0"/>
        <charset val="1"/>
      </rPr>
      <t xml:space="preserve">100 </t>
    </r>
    <r>
      <rPr>
        <sz val="10"/>
        <rFont val="Arial"/>
        <family val="2"/>
      </rPr>
      <t xml:space="preserve">位病患。</t>
    </r>
  </si>
  <si>
    <t xml:space="preserve">醫術</t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</si>
  <si>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+NT$ 35,000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+15</t>
    </r>
  </si>
  <si>
    <t xml:space="preserve">✋</t>
  </si>
  <si>
    <r>
      <rPr>
        <sz val="10"/>
        <rFont val="Arial"/>
        <family val="2"/>
      </rPr>
      <t xml:space="preserve">累計治癒病患（目標 </t>
    </r>
    <r>
      <rPr>
        <sz val="10"/>
        <rFont val="Arial"/>
        <family val="0"/>
        <charset val="1"/>
      </rPr>
      <t xml:space="preserve">100</t>
    </r>
    <r>
      <rPr>
        <sz val="10"/>
        <rFont val="Arial"/>
        <family val="2"/>
      </rPr>
      <t xml:space="preserve">）</t>
    </r>
  </si>
  <si>
    <t xml:space="preserve">口碑起家</t>
  </si>
  <si>
    <t xml:space="preserve">m_rep_100</t>
  </si>
  <si>
    <r>
      <rPr>
        <sz val="10"/>
        <rFont val="Arial"/>
        <family val="2"/>
      </rPr>
      <t xml:space="preserve">聲譽達到 </t>
    </r>
    <r>
      <rPr>
        <sz val="10"/>
        <rFont val="Arial"/>
        <family val="0"/>
        <charset val="1"/>
      </rPr>
      <t xml:space="preserve">100 </t>
    </r>
    <r>
      <rPr>
        <sz val="10"/>
        <rFont val="Arial"/>
        <family val="2"/>
      </rPr>
      <t xml:space="preserve">以上。</t>
    </r>
  </si>
  <si>
    <t xml:space="preserve">📣</t>
  </si>
  <si>
    <r>
      <rPr>
        <sz val="10"/>
        <rFont val="Arial"/>
        <family val="2"/>
      </rPr>
      <t xml:space="preserve">聲譽（目標 </t>
    </r>
    <r>
      <rPr>
        <sz val="10"/>
        <rFont val="Arial"/>
        <family val="0"/>
        <charset val="1"/>
      </rPr>
      <t xml:space="preserve">100</t>
    </r>
    <r>
      <rPr>
        <sz val="10"/>
        <rFont val="Arial"/>
        <family val="2"/>
      </rPr>
      <t xml:space="preserve">）</t>
    </r>
  </si>
  <si>
    <t xml:space="preserve">地方名醫</t>
  </si>
  <si>
    <t xml:space="preserve">m_rep_250</t>
  </si>
  <si>
    <r>
      <rPr>
        <sz val="10"/>
        <rFont val="Arial"/>
        <family val="2"/>
      </rPr>
      <t xml:space="preserve">聲譽達到 </t>
    </r>
    <r>
      <rPr>
        <sz val="10"/>
        <rFont val="Arial"/>
        <family val="0"/>
        <charset val="1"/>
      </rPr>
      <t xml:space="preserve">250 </t>
    </r>
    <r>
      <rPr>
        <sz val="10"/>
        <rFont val="Arial"/>
        <family val="2"/>
      </rPr>
      <t xml:space="preserve">以上。</t>
    </r>
  </si>
  <si>
    <r>
      <rPr>
        <sz val="10"/>
        <rFont val="Arial"/>
        <family val="2"/>
      </rPr>
      <t xml:space="preserve">聲譽（目標 </t>
    </r>
    <r>
      <rPr>
        <sz val="10"/>
        <rFont val="Arial"/>
        <family val="0"/>
        <charset val="1"/>
      </rPr>
      <t xml:space="preserve">250</t>
    </r>
    <r>
      <rPr>
        <sz val="10"/>
        <rFont val="Arial"/>
        <family val="2"/>
      </rPr>
      <t xml:space="preserve">）</t>
    </r>
  </si>
  <si>
    <t xml:space="preserve">全國有名</t>
  </si>
  <si>
    <t xml:space="preserve">m_rep_600</t>
  </si>
  <si>
    <r>
      <rPr>
        <sz val="10"/>
        <rFont val="Arial"/>
        <family val="2"/>
      </rPr>
      <t xml:space="preserve">聲譽達到 </t>
    </r>
    <r>
      <rPr>
        <sz val="10"/>
        <rFont val="Arial"/>
        <family val="0"/>
        <charset val="1"/>
      </rPr>
      <t xml:space="preserve">600 </t>
    </r>
    <r>
      <rPr>
        <sz val="10"/>
        <rFont val="Arial"/>
        <family val="2"/>
      </rPr>
      <t xml:space="preserve">以上。</t>
    </r>
  </si>
  <si>
    <t xml:space="preserve">🎖️</t>
  </si>
  <si>
    <t xml:space="preserve">國民復健名醫</t>
  </si>
  <si>
    <r>
      <rPr>
        <sz val="10"/>
        <rFont val="Arial"/>
        <family val="2"/>
      </rPr>
      <t xml:space="preserve">聲譽（目標 </t>
    </r>
    <r>
      <rPr>
        <sz val="10"/>
        <rFont val="Arial"/>
        <family val="0"/>
        <charset val="1"/>
      </rPr>
      <t xml:space="preserve">600</t>
    </r>
    <r>
      <rPr>
        <sz val="10"/>
        <rFont val="Arial"/>
        <family val="2"/>
      </rPr>
      <t xml:space="preserve">）</t>
    </r>
  </si>
  <si>
    <t xml:space="preserve">搬新家</t>
  </si>
  <si>
    <t xml:space="preserve">m_lot1</t>
  </si>
  <si>
    <t xml:space="preserve">擴建到「社區診所」。</t>
  </si>
  <si>
    <t xml:space="preserve">🏠</t>
  </si>
  <si>
    <t xml:space="preserve">擴大營業</t>
  </si>
  <si>
    <t xml:space="preserve">m_lot2</t>
  </si>
  <si>
    <t xml:space="preserve">擴建到「地區復健中心」。</t>
  </si>
  <si>
    <t xml:space="preserve">🏢</t>
  </si>
  <si>
    <t xml:space="preserve">頂尖中心</t>
  </si>
  <si>
    <t xml:space="preserve">m_lot3</t>
  </si>
  <si>
    <t xml:space="preserve">擴建到「全台頂尖復健中心」。</t>
  </si>
  <si>
    <t xml:space="preserve">🏙️</t>
  </si>
  <si>
    <t xml:space="preserve">復健中心創辦人</t>
  </si>
  <si>
    <t xml:space="preserve">三週年</t>
  </si>
  <si>
    <t xml:space="preserve">m_year3</t>
  </si>
  <si>
    <r>
      <rPr>
        <sz val="10"/>
        <rFont val="Arial"/>
        <family val="2"/>
      </rPr>
      <t xml:space="preserve">經營滿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年，順利進入第 </t>
    </r>
    <r>
      <rPr>
        <sz val="10"/>
        <rFont val="Arial"/>
        <family val="0"/>
        <charset val="1"/>
      </rPr>
      <t xml:space="preserve">4 </t>
    </r>
    <r>
      <rPr>
        <sz val="10"/>
        <rFont val="Arial"/>
        <family val="2"/>
      </rPr>
      <t xml:space="preserve">年。</t>
    </r>
  </si>
  <si>
    <t xml:space="preserve">🎂</t>
  </si>
  <si>
    <t xml:space="preserve">五職齊備</t>
  </si>
  <si>
    <t xml:space="preserve">m_five_roles</t>
  </si>
  <si>
    <r>
      <rPr>
        <sz val="10"/>
        <rFont val="Arial"/>
        <family val="2"/>
      </rPr>
      <t xml:space="preserve">同時聘有醫師、</t>
    </r>
    <r>
      <rPr>
        <sz val="10"/>
        <rFont val="Arial"/>
        <family val="0"/>
        <charset val="1"/>
      </rPr>
      <t xml:space="preserve">PT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OT</t>
    </r>
    <r>
      <rPr>
        <sz val="10"/>
        <rFont val="Arial"/>
        <family val="2"/>
      </rPr>
      <t xml:space="preserve">、</t>
    </r>
    <r>
      <rPr>
        <sz val="10"/>
        <rFont val="Arial"/>
        <family val="0"/>
        <charset val="1"/>
      </rPr>
      <t xml:space="preserve">ST</t>
    </r>
    <r>
      <rPr>
        <sz val="10"/>
        <rFont val="Arial"/>
        <family val="2"/>
      </rPr>
      <t xml:space="preserve">、護理師。</t>
    </r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</si>
  <si>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+NT$ 10,000</t>
    </r>
    <r>
      <rPr>
        <sz val="10"/>
        <rFont val="Arial"/>
        <family val="2"/>
      </rPr>
      <t xml:space="preserve">、醫術點數 </t>
    </r>
    <r>
      <rPr>
        <sz val="10"/>
        <rFont val="Arial"/>
        <family val="0"/>
        <charset val="1"/>
      </rPr>
      <t xml:space="preserve">+8</t>
    </r>
  </si>
  <si>
    <t xml:space="preserve">🧑‍⚕️</t>
  </si>
  <si>
    <t xml:space="preserve">學無止境</t>
  </si>
  <si>
    <t xml:space="preserve">m_research_all</t>
  </si>
  <si>
    <t xml:space="preserve">完成全部研發節點。</t>
  </si>
  <si>
    <t xml:space="preserve">🔬</t>
  </si>
  <si>
    <t xml:space="preserve">研發怪咖院長</t>
  </si>
  <si>
    <r>
      <rPr>
        <sz val="10"/>
        <rFont val="Arial"/>
        <family val="2"/>
      </rPr>
      <t xml:space="preserve">完成研發節點（目標 </t>
    </r>
    <r>
      <rPr>
        <sz val="10"/>
        <rFont val="Arial"/>
        <family val="0"/>
        <charset val="1"/>
      </rPr>
      <t xml:space="preserve">26</t>
    </r>
    <r>
      <rPr>
        <sz val="10"/>
        <rFont val="Arial"/>
        <family val="2"/>
      </rPr>
      <t xml:space="preserve">）</t>
    </r>
  </si>
  <si>
    <t xml:space="preserve">台灣在地特色</t>
  </si>
  <si>
    <t xml:space="preserve">寒流守護者</t>
  </si>
  <si>
    <t xml:space="preserve">t_cold_week</t>
  </si>
  <si>
    <r>
      <rPr>
        <sz val="10"/>
        <rFont val="Arial"/>
        <family val="2"/>
      </rPr>
      <t xml:space="preserve">寒流週結束時，該週服務 </t>
    </r>
    <r>
      <rPr>
        <sz val="10"/>
        <rFont val="Arial"/>
        <family val="0"/>
        <charset val="1"/>
      </rPr>
      <t xml:space="preserve">15 </t>
    </r>
    <r>
      <rPr>
        <sz val="10"/>
        <rFont val="Arial"/>
        <family val="2"/>
      </rPr>
      <t xml:space="preserve">位以上長輩。</t>
    </r>
  </si>
  <si>
    <t xml:space="preserve">🧣</t>
  </si>
  <si>
    <t xml:space="preserve">風雨無阻</t>
  </si>
  <si>
    <t xml:space="preserve">t_rain_safe</t>
  </si>
  <si>
    <r>
      <rPr>
        <sz val="10"/>
        <rFont val="Arial"/>
        <family val="2"/>
      </rPr>
      <t xml:space="preserve">雨天週服務 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位以上病患，且該週沒有人滑倒。</t>
    </r>
  </si>
  <si>
    <t xml:space="preserve">儀器</t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</si>
  <si>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+NT$ 35,000</t>
    </r>
    <r>
      <rPr>
        <sz val="10"/>
        <rFont val="Arial"/>
        <family val="2"/>
      </rPr>
      <t xml:space="preserve">、聲譽 </t>
    </r>
    <r>
      <rPr>
        <sz val="10"/>
        <rFont val="Arial"/>
        <family val="0"/>
        <charset val="1"/>
      </rPr>
      <t xml:space="preserve">+3</t>
    </r>
    <r>
      <rPr>
        <sz val="10"/>
        <rFont val="Arial"/>
        <family val="2"/>
      </rPr>
      <t xml:space="preserve">、儀器點數 </t>
    </r>
    <r>
      <rPr>
        <sz val="10"/>
        <rFont val="Arial"/>
        <family val="0"/>
        <charset val="1"/>
      </rPr>
      <t xml:space="preserve">+15</t>
    </r>
  </si>
  <si>
    <t xml:space="preserve">☔</t>
  </si>
  <si>
    <t xml:space="preserve">颱風天照常營業</t>
  </si>
  <si>
    <t xml:space="preserve">t_typhoon</t>
  </si>
  <si>
    <r>
      <rPr>
        <sz val="10"/>
        <rFont val="Arial"/>
        <family val="2"/>
      </rPr>
      <t xml:space="preserve">颱風週服務 </t>
    </r>
    <r>
      <rPr>
        <sz val="10"/>
        <rFont val="Arial"/>
        <family val="0"/>
        <charset val="1"/>
      </rPr>
      <t xml:space="preserve">5 </t>
    </r>
    <r>
      <rPr>
        <sz val="10"/>
        <rFont val="Arial"/>
        <family val="2"/>
      </rPr>
      <t xml:space="preserve">位以上病患。</t>
    </r>
  </si>
  <si>
    <t xml:space="preserve">廟口肌少症剋星</t>
  </si>
  <si>
    <t xml:space="preserve">t_temple</t>
  </si>
  <si>
    <t xml:space="preserve">完成一次「宮廟肌少症篩檢」。</t>
  </si>
  <si>
    <t xml:space="preserve">🛕</t>
  </si>
  <si>
    <t xml:space="preserve">里民好厝邊</t>
  </si>
  <si>
    <t xml:space="preserve">t_community_all</t>
  </si>
  <si>
    <r>
      <rPr>
        <sz val="10"/>
        <rFont val="Arial"/>
        <family val="0"/>
        <charset val="1"/>
      </rPr>
      <t xml:space="preserve">7 </t>
    </r>
    <r>
      <rPr>
        <sz val="10"/>
        <rFont val="Arial"/>
        <family val="2"/>
      </rPr>
      <t xml:space="preserve">種社區活動各至少完成過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次。</t>
    </r>
  </si>
  <si>
    <t xml:space="preserve">🤝</t>
  </si>
  <si>
    <r>
      <rPr>
        <sz val="10"/>
        <rFont val="Arial"/>
        <family val="2"/>
      </rPr>
      <t xml:space="preserve">社區活動種類（共 </t>
    </r>
    <r>
      <rPr>
        <sz val="10"/>
        <rFont val="Arial"/>
        <family val="0"/>
        <charset val="1"/>
      </rPr>
      <t xml:space="preserve">7 </t>
    </r>
    <r>
      <rPr>
        <sz val="10"/>
        <rFont val="Arial"/>
        <family val="2"/>
      </rPr>
      <t xml:space="preserve">種）（目標 </t>
    </r>
    <r>
      <rPr>
        <sz val="10"/>
        <rFont val="Arial"/>
        <family val="0"/>
        <charset val="1"/>
      </rPr>
      <t xml:space="preserve">7</t>
    </r>
    <r>
      <rPr>
        <sz val="10"/>
        <rFont val="Arial"/>
        <family val="2"/>
      </rPr>
      <t xml:space="preserve">）</t>
    </r>
  </si>
  <si>
    <t xml:space="preserve">督導過關</t>
  </si>
  <si>
    <t xml:space="preserve">t_audit</t>
  </si>
  <si>
    <t xml:space="preserve">首次通過衛生局督導或健保署抽查。</t>
  </si>
  <si>
    <t xml:space="preserve">📋</t>
  </si>
  <si>
    <t xml:space="preserve">督導優等</t>
  </si>
  <si>
    <t xml:space="preserve">t_audit_excellent</t>
  </si>
  <si>
    <t xml:space="preserve">評鑑分數達到「優等」等級。</t>
  </si>
  <si>
    <t xml:space="preserve">⭐</t>
  </si>
  <si>
    <t xml:space="preserve">模範診所</t>
  </si>
  <si>
    <t xml:space="preserve">t_audit_3</t>
  </si>
  <si>
    <r>
      <rPr>
        <sz val="10"/>
        <rFont val="Arial"/>
        <family val="2"/>
      </rPr>
      <t xml:space="preserve">連續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年通過評鑑。</t>
    </r>
  </si>
  <si>
    <t xml:space="preserve">🏅</t>
  </si>
  <si>
    <t xml:space="preserve">評鑑模範生</t>
  </si>
  <si>
    <t xml:space="preserve">溝通達人</t>
  </si>
  <si>
    <t xml:space="preserve">t_dilemma_5</t>
  </si>
  <si>
    <r>
      <rPr>
        <sz val="10"/>
        <rFont val="Arial"/>
        <family val="2"/>
      </rPr>
      <t xml:space="preserve">處理過 </t>
    </r>
    <r>
      <rPr>
        <sz val="10"/>
        <rFont val="Arial"/>
        <family val="0"/>
        <charset val="1"/>
      </rPr>
      <t xml:space="preserve">5 </t>
    </r>
    <r>
      <rPr>
        <sz val="10"/>
        <rFont val="Arial"/>
        <family val="2"/>
      </rPr>
      <t xml:space="preserve">次醫病溝通情境。</t>
    </r>
  </si>
  <si>
    <t xml:space="preserve">💬</t>
  </si>
  <si>
    <r>
      <rPr>
        <sz val="10"/>
        <rFont val="Arial"/>
        <family val="2"/>
      </rPr>
      <t xml:space="preserve">處理醫病溝通情境次數（目標 </t>
    </r>
    <r>
      <rPr>
        <sz val="10"/>
        <rFont val="Arial"/>
        <family val="0"/>
        <charset val="1"/>
      </rPr>
      <t xml:space="preserve">5</t>
    </r>
    <r>
      <rPr>
        <sz val="10"/>
        <rFont val="Arial"/>
        <family val="2"/>
      </rPr>
      <t xml:space="preserve">）</t>
    </r>
  </si>
  <si>
    <t xml:space="preserve">阿嬤說了算</t>
  </si>
  <si>
    <t xml:space="preserve">t_dilemma_all</t>
  </si>
  <si>
    <t xml:space="preserve">四種醫病溝通情境都處理過（止痛藥、只做電療、過度治療、客訴）。</t>
  </si>
  <si>
    <t xml:space="preserve">👵</t>
  </si>
  <si>
    <t xml:space="preserve">溝通大師</t>
  </si>
  <si>
    <t xml:space="preserve">自費轉型成功</t>
  </si>
  <si>
    <t xml:space="preserve">t_selfpay_40</t>
  </si>
  <si>
    <r>
      <rPr>
        <sz val="10"/>
        <rFont val="Arial"/>
        <family val="2"/>
      </rPr>
      <t xml:space="preserve">單月自費收入佔總收入 </t>
    </r>
    <r>
      <rPr>
        <sz val="10"/>
        <rFont val="Arial"/>
        <family val="0"/>
        <charset val="1"/>
      </rPr>
      <t xml:space="preserve">40% </t>
    </r>
    <r>
      <rPr>
        <sz val="10"/>
        <rFont val="Arial"/>
        <family val="2"/>
      </rPr>
      <t xml:space="preserve">以上。</t>
    </r>
  </si>
  <si>
    <t xml:space="preserve">💳</t>
  </si>
  <si>
    <t xml:space="preserve">衛教達人</t>
  </si>
  <si>
    <t xml:space="preserve">t_board_3</t>
  </si>
  <si>
    <r>
      <rPr>
        <sz val="10"/>
        <rFont val="Arial"/>
        <family val="2"/>
      </rPr>
      <t xml:space="preserve">同時啟用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個衛教看板。</t>
    </r>
  </si>
  <si>
    <t xml:space="preserve">🪧</t>
  </si>
  <si>
    <t xml:space="preserve">挑戰與隱藏</t>
  </si>
  <si>
    <t xml:space="preserve">黃金三寶</t>
  </si>
  <si>
    <t xml:space="preserve">c_zone_golden</t>
  </si>
  <si>
    <t xml:space="preserve">啟動「黃金三寶區」。</t>
  </si>
  <si>
    <r>
      <rPr>
        <sz val="10"/>
        <rFont val="Arial"/>
        <family val="2"/>
      </rPr>
      <t xml:space="preserve">資金 </t>
    </r>
    <r>
      <rPr>
        <sz val="10"/>
        <rFont val="Arial"/>
        <family val="0"/>
        <charset val="1"/>
      </rPr>
      <t xml:space="preserve">+NT$ 10,000</t>
    </r>
    <r>
      <rPr>
        <sz val="10"/>
        <rFont val="Arial"/>
        <family val="2"/>
      </rPr>
      <t xml:space="preserve">、儀器點數 </t>
    </r>
    <r>
      <rPr>
        <sz val="10"/>
        <rFont val="Arial"/>
        <family val="0"/>
        <charset val="1"/>
      </rPr>
      <t xml:space="preserve">+8</t>
    </r>
  </si>
  <si>
    <t xml:space="preserve">🥇</t>
  </si>
  <si>
    <t xml:space="preserve">高階自費</t>
  </si>
  <si>
    <t xml:space="preserve">c_zone_premium</t>
  </si>
  <si>
    <t xml:space="preserve">啟動「高階自費專區」。</t>
  </si>
  <si>
    <t xml:space="preserve">☕</t>
  </si>
  <si>
    <t xml:space="preserve">放電樂園</t>
  </si>
  <si>
    <t xml:space="preserve">c_zone_kidpark</t>
  </si>
  <si>
    <t xml:space="preserve">啟動「早療放電樂園」。</t>
  </si>
  <si>
    <t xml:space="preserve">🎠</t>
  </si>
  <si>
    <t xml:space="preserve">專區大滿貫</t>
  </si>
  <si>
    <t xml:space="preserve">c_zone_all</t>
  </si>
  <si>
    <t xml:space="preserve">黃金三寶區、高階自費專區、早療放電樂園同時啟動。</t>
  </si>
  <si>
    <t xml:space="preserve">🗺️</t>
  </si>
  <si>
    <t xml:space="preserve">專區規劃師</t>
  </si>
  <si>
    <t xml:space="preserve">零滑倒一整年</t>
  </si>
  <si>
    <t xml:space="preserve">c_zero_slip_year</t>
  </si>
  <si>
    <r>
      <rPr>
        <sz val="10"/>
        <rFont val="Arial"/>
        <family val="2"/>
      </rPr>
      <t xml:space="preserve">一個完整年度（</t>
    </r>
    <r>
      <rPr>
        <sz val="10"/>
        <rFont val="Arial"/>
        <family val="0"/>
        <charset val="1"/>
      </rPr>
      <t xml:space="preserve">12 </t>
    </r>
    <r>
      <rPr>
        <sz val="10"/>
        <rFont val="Arial"/>
        <family val="2"/>
      </rPr>
      <t xml:space="preserve">個月）內零人滑倒，且至少服務 </t>
    </r>
    <r>
      <rPr>
        <sz val="10"/>
        <rFont val="Arial"/>
        <family val="0"/>
        <charset val="1"/>
      </rPr>
      <t xml:space="preserve">200 </t>
    </r>
    <r>
      <rPr>
        <sz val="10"/>
        <rFont val="Arial"/>
        <family val="2"/>
      </rPr>
      <t xml:space="preserve">位病患。</t>
    </r>
  </si>
  <si>
    <t xml:space="preserve">🦶</t>
  </si>
  <si>
    <t xml:space="preserve">防滑達人</t>
  </si>
  <si>
    <t xml:space="preserve">笑臉迎人</t>
  </si>
  <si>
    <t xml:space="preserve">c_no_angry_month</t>
  </si>
  <si>
    <r>
      <rPr>
        <sz val="10"/>
        <rFont val="Arial"/>
        <family val="2"/>
      </rPr>
      <t xml:space="preserve">單月內沒有任何病患因滿意度低於 </t>
    </r>
    <r>
      <rPr>
        <sz val="10"/>
        <rFont val="Arial"/>
        <family val="0"/>
        <charset val="1"/>
      </rPr>
      <t xml:space="preserve">25 </t>
    </r>
    <r>
      <rPr>
        <sz val="10"/>
        <rFont val="Arial"/>
        <family val="2"/>
      </rPr>
      <t xml:space="preserve">或候診超時而憤怒離開，且該月服務 </t>
    </r>
    <r>
      <rPr>
        <sz val="10"/>
        <rFont val="Arial"/>
        <family val="0"/>
        <charset val="1"/>
      </rPr>
      <t xml:space="preserve">20 </t>
    </r>
    <r>
      <rPr>
        <sz val="10"/>
        <rFont val="Arial"/>
        <family val="2"/>
      </rPr>
      <t xml:space="preserve">人以上。</t>
    </r>
  </si>
  <si>
    <t xml:space="preserve">😊</t>
  </si>
  <si>
    <t xml:space="preserve">門庭若市</t>
  </si>
  <si>
    <t xml:space="preserve">c_full_house</t>
  </si>
  <si>
    <r>
      <rPr>
        <sz val="10"/>
        <rFont val="Arial"/>
        <family val="2"/>
      </rPr>
      <t xml:space="preserve">擴建後，單週服務人數達到店面上限的 </t>
    </r>
    <r>
      <rPr>
        <sz val="10"/>
        <rFont val="Arial"/>
        <family val="0"/>
        <charset val="1"/>
      </rPr>
      <t xml:space="preserve">90% </t>
    </r>
    <r>
      <rPr>
        <sz val="10"/>
        <rFont val="Arial"/>
        <family val="2"/>
      </rPr>
      <t xml:space="preserve">以上。</t>
    </r>
  </si>
  <si>
    <t xml:space="preserve">🈵</t>
  </si>
  <si>
    <t xml:space="preserve">純健保硬撐</t>
  </si>
  <si>
    <t xml:space="preserve">c_pure_nhi</t>
  </si>
  <si>
    <r>
      <rPr>
        <sz val="10"/>
        <rFont val="Arial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Arial"/>
        <family val="2"/>
      </rPr>
      <t xml:space="preserve">年全程未收取任何自費治療費，且年底資金不低於起始資金。</t>
    </r>
  </si>
  <si>
    <t xml:space="preserve">🧾</t>
  </si>
  <si>
    <t xml:space="preserve">純健保硬漢</t>
  </si>
  <si>
    <t xml:space="preserve">神醫降臨</t>
  </si>
  <si>
    <t xml:space="preserve">c_one_week_cure</t>
  </si>
  <si>
    <r>
      <rPr>
        <sz val="10"/>
        <rFont val="Arial"/>
        <family val="2"/>
      </rPr>
      <t xml:space="preserve">單週治癒 </t>
    </r>
    <r>
      <rPr>
        <sz val="10"/>
        <rFont val="Arial"/>
        <family val="0"/>
        <charset val="1"/>
      </rPr>
      <t xml:space="preserve">10 </t>
    </r>
    <r>
      <rPr>
        <sz val="10"/>
        <rFont val="Arial"/>
        <family val="2"/>
      </rPr>
      <t xml:space="preserve">位以上病患。</t>
    </r>
  </si>
  <si>
    <t xml:space="preserve">💊</t>
  </si>
  <si>
    <t xml:space="preserve">咖啡成癮</t>
  </si>
  <si>
    <t xml:space="preserve">h_coffee</t>
  </si>
  <si>
    <r>
      <rPr>
        <sz val="10"/>
        <rFont val="Arial"/>
        <family val="2"/>
      </rPr>
      <t xml:space="preserve">同時擁有 </t>
    </r>
    <r>
      <rPr>
        <sz val="10"/>
        <rFont val="Arial"/>
        <family val="0"/>
        <charset val="1"/>
      </rPr>
      <t xml:space="preserve">3 </t>
    </r>
    <r>
      <rPr>
        <sz val="10"/>
        <rFont val="Arial"/>
        <family val="2"/>
      </rPr>
      <t xml:space="preserve">台咖啡機。</t>
    </r>
  </si>
  <si>
    <t xml:space="preserve">☕☕</t>
  </si>
  <si>
    <t xml:space="preserve">診所裡的咖啡香越來越濃了……</t>
  </si>
  <si>
    <t xml:space="preserve">聊天治百病</t>
  </si>
  <si>
    <t xml:space="preserve">h_chat</t>
  </si>
  <si>
    <r>
      <rPr>
        <sz val="10"/>
        <rFont val="Arial"/>
        <family val="2"/>
      </rPr>
      <t xml:space="preserve">長輩與治療師累計聊天 </t>
    </r>
    <r>
      <rPr>
        <sz val="10"/>
        <rFont val="Arial"/>
        <family val="0"/>
        <charset val="1"/>
      </rPr>
      <t xml:space="preserve">50 </t>
    </r>
    <r>
      <rPr>
        <sz val="10"/>
        <rFont val="Arial"/>
        <family val="2"/>
      </rPr>
      <t xml:space="preserve">次。</t>
    </r>
  </si>
  <si>
    <t xml:space="preserve">🗣️</t>
  </si>
  <si>
    <t xml:space="preserve">長輩的話匣子一開，就很難關起來。</t>
  </si>
  <si>
    <r>
      <rPr>
        <sz val="10"/>
        <rFont val="Arial"/>
        <family val="2"/>
      </rPr>
      <t xml:space="preserve">長輩與治療師聊天次數（目標 </t>
    </r>
    <r>
      <rPr>
        <sz val="10"/>
        <rFont val="Arial"/>
        <family val="0"/>
        <charset val="1"/>
      </rPr>
      <t xml:space="preserve">50</t>
    </r>
    <r>
      <rPr>
        <sz val="10"/>
        <rFont val="Arial"/>
        <family val="2"/>
      </rPr>
      <t xml:space="preserve">）</t>
    </r>
  </si>
  <si>
    <t xml:space="preserve">絕處逢生</t>
  </si>
  <si>
    <t xml:space="preserve">h_comeback</t>
  </si>
  <si>
    <r>
      <rPr>
        <sz val="10"/>
        <rFont val="Arial"/>
        <family val="2"/>
      </rPr>
      <t xml:space="preserve">資金曾低於 </t>
    </r>
    <r>
      <rPr>
        <sz val="10"/>
        <rFont val="Arial"/>
        <family val="0"/>
        <charset val="1"/>
      </rPr>
      <t xml:space="preserve">NT$ 50,000</t>
    </r>
    <r>
      <rPr>
        <sz val="10"/>
        <rFont val="Arial"/>
        <family val="2"/>
      </rPr>
      <t xml:space="preserve">，之後回升到 </t>
    </r>
    <r>
      <rPr>
        <sz val="10"/>
        <rFont val="Arial"/>
        <family val="0"/>
        <charset val="1"/>
      </rPr>
      <t xml:space="preserve">NT$ 1,000,000 </t>
    </r>
    <r>
      <rPr>
        <sz val="10"/>
        <rFont val="Arial"/>
        <family val="2"/>
      </rPr>
      <t xml:space="preserve">以上。</t>
    </r>
  </si>
  <si>
    <t xml:space="preserve">🔥</t>
  </si>
  <si>
    <t xml:space="preserve">不死鳥院長</t>
  </si>
  <si>
    <t xml:space="preserve">錢包見底不代表結束，看看有沒有翻身的機會。</t>
  </si>
  <si>
    <t xml:space="preserve">叢林診所</t>
  </si>
  <si>
    <t xml:space="preserve">h_plants</t>
  </si>
  <si>
    <r>
      <rPr>
        <sz val="10"/>
        <rFont val="Arial"/>
        <family val="2"/>
      </rPr>
      <t xml:space="preserve">同時擺放 </t>
    </r>
    <r>
      <rPr>
        <sz val="10"/>
        <rFont val="Arial"/>
        <family val="0"/>
        <charset val="1"/>
      </rPr>
      <t xml:space="preserve">10 </t>
    </r>
    <r>
      <rPr>
        <sz val="10"/>
        <rFont val="Arial"/>
        <family val="2"/>
      </rPr>
      <t xml:space="preserve">盆綠植。</t>
    </r>
  </si>
  <si>
    <t xml:space="preserve">🌿</t>
  </si>
  <si>
    <t xml:space="preserve">診所裡的綠意越來越濃，快變成森林了？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</si>
</sst>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65A"/>
      <name val="Arial"/>
      <family val="2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65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36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6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37.3" hidden="false" customHeight="false" outlineLevel="0" collapsed="false">
      <c r="A1" s="1" t="s">
        <v>0</v>
      </c>
    </row>
    <row r="2" customFormat="false" ht="50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6.8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15" hidden="false" customHeight="true" outlineLevel="0" collapsed="false">
      <c r="A8" s="4" t="s">
        <v>9</v>
      </c>
      <c r="B8" s="5" t="s">
        <v>10</v>
      </c>
      <c r="C8" s="5"/>
      <c r="D8" s="5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</row>
    <row r="10" customFormat="false" ht="15" hidden="false" customHeight="true" outlineLevel="0" collapsed="false">
      <c r="A10" s="4" t="s">
        <v>13</v>
      </c>
      <c r="B10" s="5" t="s">
        <v>14</v>
      </c>
      <c r="C10" s="5"/>
      <c r="D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6" t="s">
        <v>17</v>
      </c>
      <c r="C13" s="6" t="s">
        <v>18</v>
      </c>
      <c r="D13" s="6" t="s">
        <v>19</v>
      </c>
    </row>
    <row r="14" customFormat="false" ht="15" hidden="false" customHeight="false" outlineLevel="0" collapsed="false">
      <c r="A14" s="2" t="s">
        <v>20</v>
      </c>
      <c r="B14" s="7" t="n">
        <f aca="false">COUNTA(事件!C2:C74)</f>
        <v>73</v>
      </c>
      <c r="C14" s="7" t="n">
        <v>73</v>
      </c>
      <c r="D14" s="2" t="str">
        <f aca="false">IF(B14=C14,"符合","不符，請檢查")</f>
        <v>符合</v>
      </c>
    </row>
    <row r="15" customFormat="false" ht="15" hidden="false" customHeight="false" outlineLevel="0" collapsed="false">
      <c r="A15" s="2" t="s">
        <v>21</v>
      </c>
      <c r="B15" s="7" t="n">
        <f aca="false">COUNTIF(事件!B2:B74,"原始（events.js）")</f>
        <v>15</v>
      </c>
      <c r="C15" s="7" t="n">
        <v>15</v>
      </c>
      <c r="D15" s="2" t="str">
        <f aca="false">IF(B15=C15,"符合","不符，請檢查")</f>
        <v>符合</v>
      </c>
    </row>
    <row r="16" customFormat="false" ht="15" hidden="false" customHeight="false" outlineLevel="0" collapsed="false">
      <c r="A16" s="2" t="s">
        <v>22</v>
      </c>
      <c r="B16" s="7" t="n">
        <f aca="false">COUNTIF(事件!B2:B74,"擴充（events_ext.js）")</f>
        <v>30</v>
      </c>
      <c r="C16" s="7" t="n">
        <v>30</v>
      </c>
      <c r="D16" s="2" t="str">
        <f aca="false">IF(B16=C16,"符合","不符，請檢查")</f>
        <v>符合</v>
      </c>
    </row>
    <row r="17" customFormat="false" ht="15" hidden="false" customHeight="false" outlineLevel="0" collapsed="false">
      <c r="A17" s="2" t="s">
        <v>23</v>
      </c>
      <c r="B17" s="7" t="n">
        <f aca="false">COUNTIF(事件!B2:B74,"擴充（events_ext2.js）")</f>
        <v>28</v>
      </c>
      <c r="C17" s="7" t="n">
        <v>28</v>
      </c>
      <c r="D17" s="2" t="str">
        <f aca="false">IF(B17=C17,"符合","不符，請檢查")</f>
        <v>符合</v>
      </c>
    </row>
    <row r="18" customFormat="false" ht="15" hidden="false" customHeight="false" outlineLevel="0" collapsed="false">
      <c r="A18" s="2" t="s">
        <v>24</v>
      </c>
      <c r="B18" s="7" t="n">
        <f aca="false">COUNTIF(事件!A2:A74,"一般")</f>
        <v>12</v>
      </c>
      <c r="C18" s="7" t="n">
        <v>12</v>
      </c>
      <c r="D18" s="2" t="str">
        <f aca="false">IF(B18=C18,"符合","不符，請檢查")</f>
        <v>符合</v>
      </c>
    </row>
    <row r="19" customFormat="false" ht="15" hidden="false" customHeight="false" outlineLevel="0" collapsed="false">
      <c r="A19" s="2" t="s">
        <v>25</v>
      </c>
      <c r="B19" s="7" t="n">
        <f aca="false">COUNTIF(事件!A2:A74,"健保營運")</f>
        <v>15</v>
      </c>
      <c r="C19" s="7" t="n">
        <v>15</v>
      </c>
      <c r="D19" s="2" t="str">
        <f aca="false">IF(B19=C19,"符合","不符，請檢查")</f>
        <v>符合</v>
      </c>
    </row>
    <row r="20" customFormat="false" ht="15" hidden="false" customHeight="false" outlineLevel="0" collapsed="false">
      <c r="A20" s="2" t="s">
        <v>26</v>
      </c>
      <c r="B20" s="7" t="n">
        <f aca="false">COUNTIF(事件!A2:A74,"病患與溝通")</f>
        <v>16</v>
      </c>
      <c r="C20" s="7" t="n">
        <v>16</v>
      </c>
      <c r="D20" s="2" t="str">
        <f aca="false">IF(B20=C20,"符合","不符，請檢查")</f>
        <v>符合</v>
      </c>
    </row>
    <row r="21" customFormat="false" ht="15" hidden="false" customHeight="false" outlineLevel="0" collapsed="false">
      <c r="A21" s="2" t="s">
        <v>27</v>
      </c>
      <c r="B21" s="7" t="n">
        <f aca="false">COUNTIF(事件!A2:A74,"診所營運")</f>
        <v>17</v>
      </c>
      <c r="C21" s="7" t="n">
        <v>17</v>
      </c>
      <c r="D21" s="2" t="str">
        <f aca="false">IF(B21=C21,"符合","不符，請檢查")</f>
        <v>符合</v>
      </c>
    </row>
    <row r="22" customFormat="false" ht="15" hidden="false" customHeight="false" outlineLevel="0" collapsed="false">
      <c r="A22" s="2" t="s">
        <v>28</v>
      </c>
      <c r="B22" s="7" t="n">
        <f aca="false">COUNTIF(事件!A2:A74,"季節與在地")</f>
        <v>13</v>
      </c>
      <c r="C22" s="7" t="n">
        <v>13</v>
      </c>
      <c r="D22" s="2" t="str">
        <f aca="false">IF(B22=C22,"符合","不符，請檢查")</f>
        <v>符合</v>
      </c>
    </row>
    <row r="23" customFormat="false" ht="15" hidden="false" customHeight="false" outlineLevel="0" collapsed="false">
      <c r="A23" s="2" t="s">
        <v>29</v>
      </c>
      <c r="B23" s="7" t="n">
        <f aca="false">COUNTIF(事件!F2:F74,"是")</f>
        <v>14</v>
      </c>
      <c r="C23" s="7" t="n">
        <v>14</v>
      </c>
      <c r="D23" s="2" t="str">
        <f aca="false">IF(B23=C23,"符合","不符，請檢查")</f>
        <v>符合</v>
      </c>
    </row>
    <row r="24" customFormat="false" ht="15" hidden="false" customHeight="false" outlineLevel="0" collapsed="false">
      <c r="A24" s="2" t="s">
        <v>30</v>
      </c>
      <c r="B24" s="7" t="n">
        <f aca="false">COUNTA(醫病溝通兩難!B2:B13)</f>
        <v>12</v>
      </c>
      <c r="C24" s="7" t="n">
        <v>12</v>
      </c>
      <c r="D24" s="2" t="str">
        <f aca="false">IF(B24=C24,"符合","不符，請檢查")</f>
        <v>符合</v>
      </c>
    </row>
    <row r="25" customFormat="false" ht="15" hidden="false" customHeight="false" outlineLevel="0" collapsed="false">
      <c r="A25" s="2" t="s">
        <v>31</v>
      </c>
      <c r="B25" s="7" t="n">
        <f aca="false">COUNTA(天氣!B2:B8)</f>
        <v>7</v>
      </c>
      <c r="C25" s="7" t="n">
        <v>7</v>
      </c>
      <c r="D25" s="2" t="str">
        <f aca="false">IF(B25=C25,"符合","不符，請檢查")</f>
        <v>符合</v>
      </c>
    </row>
    <row r="26" customFormat="false" ht="15" hidden="false" customHeight="false" outlineLevel="0" collapsed="false">
      <c r="A26" s="2" t="s">
        <v>32</v>
      </c>
      <c r="B26" s="7" t="n">
        <f aca="false">COUNTA(社區活動!B2:B8)</f>
        <v>7</v>
      </c>
      <c r="C26" s="7" t="n">
        <v>7</v>
      </c>
      <c r="D26" s="2" t="str">
        <f aca="false">IF(B26=C26,"符合","不符，請檢查")</f>
        <v>符合</v>
      </c>
    </row>
    <row r="27" customFormat="false" ht="15" hidden="false" customHeight="false" outlineLevel="0" collapsed="false">
      <c r="A27" s="2" t="s">
        <v>33</v>
      </c>
      <c r="B27" s="7" t="n">
        <f aca="false">COUNTA(衛教看板!B2:B8)</f>
        <v>7</v>
      </c>
      <c r="C27" s="7" t="n">
        <v>7</v>
      </c>
      <c r="D27" s="2" t="str">
        <f aca="false">IF(B27=C27,"符合","不符，請檢查")</f>
        <v>符合</v>
      </c>
    </row>
    <row r="28" customFormat="false" ht="15" hidden="false" customHeight="false" outlineLevel="0" collapsed="false">
      <c r="A28" s="2" t="s">
        <v>34</v>
      </c>
      <c r="B28" s="7" t="n">
        <f aca="false">COUNTA(成就!C2:C42)</f>
        <v>41</v>
      </c>
      <c r="C28" s="7" t="n">
        <v>41</v>
      </c>
      <c r="D28" s="2" t="str">
        <f aca="false">IF(B28=C28,"符合","不符，請檢查")</f>
        <v>符合</v>
      </c>
    </row>
    <row r="29" customFormat="false" ht="15" hidden="false" customHeight="false" outlineLevel="0" collapsed="false">
      <c r="A29" s="2" t="s">
        <v>35</v>
      </c>
      <c r="B29" s="7" t="n">
        <f aca="false">COUNTIF(成就!N2:N42,"是")</f>
        <v>4</v>
      </c>
      <c r="C29" s="7" t="n">
        <v>4</v>
      </c>
      <c r="D29" s="2" t="str">
        <f aca="false">IF(B29=C29,"符合","不符，請檢查")</f>
        <v>符合</v>
      </c>
    </row>
    <row r="30" customFormat="false" ht="26.85" hidden="false" customHeight="false" outlineLevel="0" collapsed="false">
      <c r="A30" s="2" t="s">
        <v>36</v>
      </c>
      <c r="B30" s="8" t="n">
        <f aca="false">SUM(成就!G2:G42)</f>
        <v>1815000</v>
      </c>
      <c r="C30" s="9" t="s">
        <v>37</v>
      </c>
      <c r="D30" s="2" t="s">
        <v>38</v>
      </c>
    </row>
    <row r="32" customFormat="false" ht="15" hidden="false" customHeight="false" outlineLevel="0" collapsed="false">
      <c r="A32" s="3" t="s">
        <v>39</v>
      </c>
    </row>
    <row r="33" customFormat="false" ht="42" hidden="false" customHeight="true" outlineLevel="0" collapsed="false">
      <c r="A33" s="5" t="s">
        <v>40</v>
      </c>
      <c r="B33" s="5"/>
      <c r="C33" s="5"/>
      <c r="D33" s="5"/>
    </row>
    <row r="34" customFormat="false" ht="42" hidden="false" customHeight="true" outlineLevel="0" collapsed="false">
      <c r="A34" s="5" t="s">
        <v>41</v>
      </c>
      <c r="B34" s="5"/>
      <c r="C34" s="5"/>
      <c r="D34" s="5"/>
    </row>
    <row r="35" customFormat="false" ht="42" hidden="false" customHeight="true" outlineLevel="0" collapsed="false">
      <c r="A35" s="5" t="s">
        <v>42</v>
      </c>
      <c r="B35" s="5"/>
      <c r="C35" s="5"/>
      <c r="D35" s="5"/>
    </row>
    <row r="36" customFormat="false" ht="42" hidden="false" customHeight="true" outlineLevel="0" collapsed="false">
      <c r="A36" s="5" t="s">
        <v>43</v>
      </c>
      <c r="B36" s="5"/>
      <c r="C36" s="5"/>
      <c r="D36" s="5"/>
    </row>
    <row r="37" customFormat="false" ht="42" hidden="false" customHeight="true" outlineLevel="0" collapsed="false">
      <c r="A37" s="5" t="s">
        <v>44</v>
      </c>
      <c r="B37" s="5"/>
      <c r="C37" s="5"/>
      <c r="D37" s="5"/>
    </row>
    <row r="38" customFormat="false" ht="42" hidden="false" customHeight="true" outlineLevel="0" collapsed="false">
      <c r="A38" s="5" t="s">
        <v>45</v>
      </c>
      <c r="B38" s="5"/>
      <c r="C38" s="5"/>
      <c r="D38" s="5"/>
    </row>
  </sheetData>
  <mergeCells count="12">
    <mergeCell ref="B5:D5"/>
    <mergeCell ref="B6:D6"/>
    <mergeCell ref="B7:D7"/>
    <mergeCell ref="B8:D8"/>
    <mergeCell ref="B9:D9"/>
    <mergeCell ref="B10:D10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46"/>
    <col collapsed="false" customWidth="true" hidden="false" outlineLevel="0" max="12" min="10" style="0" width="52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6" t="s">
        <v>46</v>
      </c>
      <c r="B1" s="6" t="s">
        <v>47</v>
      </c>
      <c r="C1" s="10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</row>
    <row r="2" customFormat="false" ht="52.2" hidden="false" customHeight="false" outlineLevel="0" collapsed="false">
      <c r="A2" s="11" t="s">
        <v>59</v>
      </c>
      <c r="B2" s="11" t="s">
        <v>60</v>
      </c>
      <c r="C2" s="12" t="s">
        <v>61</v>
      </c>
      <c r="D2" s="11" t="s">
        <v>62</v>
      </c>
      <c r="E2" s="11" t="s">
        <v>63</v>
      </c>
      <c r="F2" s="13" t="s">
        <v>64</v>
      </c>
      <c r="G2" s="14" t="n">
        <v>10</v>
      </c>
      <c r="H2" s="14" t="n">
        <v>20</v>
      </c>
      <c r="I2" s="11" t="s">
        <v>65</v>
      </c>
      <c r="J2" s="11" t="s">
        <v>66</v>
      </c>
      <c r="K2" s="11" t="s">
        <v>67</v>
      </c>
      <c r="L2" s="11"/>
      <c r="M2" s="12" t="s">
        <v>37</v>
      </c>
    </row>
    <row r="3" customFormat="false" ht="52.2" hidden="false" customHeight="false" outlineLevel="0" collapsed="false">
      <c r="A3" s="11" t="s">
        <v>68</v>
      </c>
      <c r="B3" s="11" t="s">
        <v>60</v>
      </c>
      <c r="C3" s="12" t="s">
        <v>69</v>
      </c>
      <c r="D3" s="11" t="s">
        <v>70</v>
      </c>
      <c r="E3" s="11" t="s">
        <v>71</v>
      </c>
      <c r="F3" s="13" t="s">
        <v>72</v>
      </c>
      <c r="G3" s="14" t="n">
        <v>8</v>
      </c>
      <c r="H3" s="14" t="n">
        <v>20</v>
      </c>
      <c r="I3" s="11" t="s">
        <v>73</v>
      </c>
      <c r="J3" s="11" t="s">
        <v>74</v>
      </c>
      <c r="K3" s="11" t="s">
        <v>75</v>
      </c>
      <c r="L3" s="11"/>
      <c r="M3" s="12" t="s">
        <v>37</v>
      </c>
    </row>
    <row r="4" customFormat="false" ht="52.2" hidden="false" customHeight="false" outlineLevel="0" collapsed="false">
      <c r="A4" s="11" t="s">
        <v>59</v>
      </c>
      <c r="B4" s="11" t="s">
        <v>60</v>
      </c>
      <c r="C4" s="12" t="s">
        <v>76</v>
      </c>
      <c r="D4" s="11" t="s">
        <v>77</v>
      </c>
      <c r="E4" s="11" t="s">
        <v>78</v>
      </c>
      <c r="F4" s="13" t="s">
        <v>64</v>
      </c>
      <c r="G4" s="14" t="n">
        <v>6</v>
      </c>
      <c r="H4" s="14" t="n">
        <v>20</v>
      </c>
      <c r="I4" s="11" t="s">
        <v>79</v>
      </c>
      <c r="J4" s="11" t="s">
        <v>80</v>
      </c>
      <c r="K4" s="11" t="s">
        <v>81</v>
      </c>
      <c r="L4" s="11"/>
      <c r="M4" s="12" t="s">
        <v>37</v>
      </c>
    </row>
    <row r="5" customFormat="false" ht="52.2" hidden="false" customHeight="false" outlineLevel="0" collapsed="false">
      <c r="A5" s="11" t="s">
        <v>82</v>
      </c>
      <c r="B5" s="11" t="s">
        <v>60</v>
      </c>
      <c r="C5" s="12" t="s">
        <v>83</v>
      </c>
      <c r="D5" s="11" t="s">
        <v>84</v>
      </c>
      <c r="E5" s="11" t="s">
        <v>71</v>
      </c>
      <c r="F5" s="13" t="s">
        <v>64</v>
      </c>
      <c r="G5" s="14" t="n">
        <v>7</v>
      </c>
      <c r="H5" s="14" t="n">
        <v>20</v>
      </c>
      <c r="I5" s="11" t="s">
        <v>85</v>
      </c>
      <c r="J5" s="11" t="s">
        <v>86</v>
      </c>
      <c r="K5" s="11" t="s">
        <v>87</v>
      </c>
      <c r="L5" s="11"/>
      <c r="M5" s="12" t="s">
        <v>37</v>
      </c>
    </row>
    <row r="6" customFormat="false" ht="64.9" hidden="false" customHeight="false" outlineLevel="0" collapsed="false">
      <c r="A6" s="11" t="s">
        <v>59</v>
      </c>
      <c r="B6" s="11" t="s">
        <v>60</v>
      </c>
      <c r="C6" s="12" t="s">
        <v>88</v>
      </c>
      <c r="D6" s="11" t="s">
        <v>89</v>
      </c>
      <c r="E6" s="11" t="s">
        <v>63</v>
      </c>
      <c r="F6" s="13" t="s">
        <v>64</v>
      </c>
      <c r="G6" s="14" t="n">
        <v>8</v>
      </c>
      <c r="H6" s="14" t="n">
        <v>20</v>
      </c>
      <c r="I6" s="11" t="s">
        <v>90</v>
      </c>
      <c r="J6" s="11" t="s">
        <v>91</v>
      </c>
      <c r="K6" s="11" t="s">
        <v>92</v>
      </c>
      <c r="L6" s="11"/>
      <c r="M6" s="12" t="s">
        <v>37</v>
      </c>
    </row>
    <row r="7" customFormat="false" ht="64.9" hidden="false" customHeight="false" outlineLevel="0" collapsed="false">
      <c r="A7" s="11" t="s">
        <v>93</v>
      </c>
      <c r="B7" s="11" t="s">
        <v>60</v>
      </c>
      <c r="C7" s="12" t="s">
        <v>94</v>
      </c>
      <c r="D7" s="11" t="s">
        <v>95</v>
      </c>
      <c r="E7" s="11" t="s">
        <v>96</v>
      </c>
      <c r="F7" s="13" t="s">
        <v>64</v>
      </c>
      <c r="G7" s="14" t="n">
        <v>5</v>
      </c>
      <c r="H7" s="14" t="n">
        <v>20</v>
      </c>
      <c r="I7" s="11" t="s">
        <v>97</v>
      </c>
      <c r="J7" s="11" t="s">
        <v>98</v>
      </c>
      <c r="K7" s="11" t="s">
        <v>99</v>
      </c>
      <c r="L7" s="11"/>
      <c r="M7" s="12" t="s">
        <v>37</v>
      </c>
    </row>
    <row r="8" customFormat="false" ht="52.2" hidden="false" customHeight="false" outlineLevel="0" collapsed="false">
      <c r="A8" s="11" t="s">
        <v>59</v>
      </c>
      <c r="B8" s="11" t="s">
        <v>60</v>
      </c>
      <c r="C8" s="12" t="s">
        <v>100</v>
      </c>
      <c r="D8" s="11" t="s">
        <v>101</v>
      </c>
      <c r="E8" s="11" t="s">
        <v>63</v>
      </c>
      <c r="F8" s="13" t="s">
        <v>64</v>
      </c>
      <c r="G8" s="14" t="n">
        <v>6</v>
      </c>
      <c r="H8" s="14" t="n">
        <v>20</v>
      </c>
      <c r="I8" s="11" t="s">
        <v>102</v>
      </c>
      <c r="J8" s="11" t="s">
        <v>103</v>
      </c>
      <c r="K8" s="11" t="s">
        <v>104</v>
      </c>
      <c r="L8" s="11"/>
      <c r="M8" s="12" t="s">
        <v>37</v>
      </c>
    </row>
    <row r="9" customFormat="false" ht="52.2" hidden="false" customHeight="false" outlineLevel="0" collapsed="false">
      <c r="A9" s="11" t="s">
        <v>59</v>
      </c>
      <c r="B9" s="11" t="s">
        <v>60</v>
      </c>
      <c r="C9" s="12" t="s">
        <v>105</v>
      </c>
      <c r="D9" s="11" t="s">
        <v>106</v>
      </c>
      <c r="E9" s="11" t="s">
        <v>63</v>
      </c>
      <c r="F9" s="13" t="s">
        <v>64</v>
      </c>
      <c r="G9" s="14" t="n">
        <v>6</v>
      </c>
      <c r="H9" s="14" t="n">
        <v>20</v>
      </c>
      <c r="I9" s="11" t="s">
        <v>107</v>
      </c>
      <c r="J9" s="11" t="s">
        <v>108</v>
      </c>
      <c r="K9" s="11" t="s">
        <v>109</v>
      </c>
      <c r="L9" s="11"/>
      <c r="M9" s="12" t="s">
        <v>37</v>
      </c>
    </row>
    <row r="10" customFormat="false" ht="52.2" hidden="false" customHeight="false" outlineLevel="0" collapsed="false">
      <c r="A10" s="11" t="s">
        <v>59</v>
      </c>
      <c r="B10" s="11" t="s">
        <v>60</v>
      </c>
      <c r="C10" s="12" t="s">
        <v>110</v>
      </c>
      <c r="D10" s="11" t="s">
        <v>111</v>
      </c>
      <c r="E10" s="11" t="s">
        <v>63</v>
      </c>
      <c r="F10" s="13" t="s">
        <v>64</v>
      </c>
      <c r="G10" s="14" t="n">
        <v>5</v>
      </c>
      <c r="H10" s="14" t="n">
        <v>20</v>
      </c>
      <c r="I10" s="11" t="s">
        <v>112</v>
      </c>
      <c r="J10" s="11" t="s">
        <v>113</v>
      </c>
      <c r="K10" s="11" t="s">
        <v>114</v>
      </c>
      <c r="L10" s="11"/>
      <c r="M10" s="12" t="s">
        <v>37</v>
      </c>
    </row>
    <row r="11" customFormat="false" ht="52.2" hidden="false" customHeight="false" outlineLevel="0" collapsed="false">
      <c r="A11" s="11" t="s">
        <v>59</v>
      </c>
      <c r="B11" s="11" t="s">
        <v>60</v>
      </c>
      <c r="C11" s="12" t="s">
        <v>115</v>
      </c>
      <c r="D11" s="11" t="s">
        <v>116</v>
      </c>
      <c r="E11" s="11" t="s">
        <v>117</v>
      </c>
      <c r="F11" s="13" t="s">
        <v>64</v>
      </c>
      <c r="G11" s="14" t="n">
        <v>4</v>
      </c>
      <c r="H11" s="14" t="n">
        <v>20</v>
      </c>
      <c r="I11" s="11" t="s">
        <v>118</v>
      </c>
      <c r="J11" s="11" t="s">
        <v>119</v>
      </c>
      <c r="K11" s="11" t="s">
        <v>120</v>
      </c>
      <c r="L11" s="11"/>
      <c r="M11" s="12" t="s">
        <v>37</v>
      </c>
    </row>
    <row r="12" customFormat="false" ht="52.2" hidden="false" customHeight="false" outlineLevel="0" collapsed="false">
      <c r="A12" s="11" t="s">
        <v>59</v>
      </c>
      <c r="B12" s="11" t="s">
        <v>60</v>
      </c>
      <c r="C12" s="12" t="s">
        <v>121</v>
      </c>
      <c r="D12" s="11" t="s">
        <v>122</v>
      </c>
      <c r="E12" s="11" t="s">
        <v>123</v>
      </c>
      <c r="F12" s="13" t="s">
        <v>64</v>
      </c>
      <c r="G12" s="14" t="n">
        <v>4</v>
      </c>
      <c r="H12" s="14" t="n">
        <v>20</v>
      </c>
      <c r="I12" s="11" t="s">
        <v>124</v>
      </c>
      <c r="J12" s="11" t="s">
        <v>125</v>
      </c>
      <c r="K12" s="11" t="s">
        <v>126</v>
      </c>
      <c r="L12" s="11"/>
      <c r="M12" s="12" t="s">
        <v>37</v>
      </c>
    </row>
    <row r="13" customFormat="false" ht="52.2" hidden="false" customHeight="false" outlineLevel="0" collapsed="false">
      <c r="A13" s="11" t="s">
        <v>59</v>
      </c>
      <c r="B13" s="11" t="s">
        <v>60</v>
      </c>
      <c r="C13" s="12" t="s">
        <v>127</v>
      </c>
      <c r="D13" s="11" t="s">
        <v>128</v>
      </c>
      <c r="E13" s="11" t="s">
        <v>63</v>
      </c>
      <c r="F13" s="13" t="s">
        <v>64</v>
      </c>
      <c r="G13" s="14" t="n">
        <v>5</v>
      </c>
      <c r="H13" s="14" t="n">
        <v>20</v>
      </c>
      <c r="I13" s="11" t="s">
        <v>129</v>
      </c>
      <c r="J13" s="11" t="s">
        <v>130</v>
      </c>
      <c r="K13" s="11" t="s">
        <v>131</v>
      </c>
      <c r="L13" s="11"/>
      <c r="M13" s="12" t="s">
        <v>37</v>
      </c>
    </row>
    <row r="14" customFormat="false" ht="52.2" hidden="false" customHeight="false" outlineLevel="0" collapsed="false">
      <c r="A14" s="11" t="s">
        <v>59</v>
      </c>
      <c r="B14" s="11" t="s">
        <v>60</v>
      </c>
      <c r="C14" s="12" t="s">
        <v>132</v>
      </c>
      <c r="D14" s="11" t="s">
        <v>133</v>
      </c>
      <c r="E14" s="11" t="s">
        <v>71</v>
      </c>
      <c r="F14" s="13" t="s">
        <v>64</v>
      </c>
      <c r="G14" s="14" t="n">
        <v>5</v>
      </c>
      <c r="H14" s="14" t="n">
        <v>20</v>
      </c>
      <c r="I14" s="11" t="s">
        <v>134</v>
      </c>
      <c r="J14" s="11" t="s">
        <v>135</v>
      </c>
      <c r="K14" s="11" t="s">
        <v>136</v>
      </c>
      <c r="L14" s="11"/>
      <c r="M14" s="12" t="s">
        <v>37</v>
      </c>
    </row>
    <row r="15" customFormat="false" ht="52.2" hidden="false" customHeight="false" outlineLevel="0" collapsed="false">
      <c r="A15" s="11" t="s">
        <v>59</v>
      </c>
      <c r="B15" s="11" t="s">
        <v>60</v>
      </c>
      <c r="C15" s="12" t="s">
        <v>137</v>
      </c>
      <c r="D15" s="11" t="s">
        <v>138</v>
      </c>
      <c r="E15" s="11" t="s">
        <v>63</v>
      </c>
      <c r="F15" s="13" t="s">
        <v>64</v>
      </c>
      <c r="G15" s="14" t="n">
        <v>5</v>
      </c>
      <c r="H15" s="14" t="n">
        <v>20</v>
      </c>
      <c r="I15" s="11" t="s">
        <v>139</v>
      </c>
      <c r="J15" s="11" t="s">
        <v>140</v>
      </c>
      <c r="K15" s="11" t="s">
        <v>141</v>
      </c>
      <c r="L15" s="11"/>
      <c r="M15" s="12" t="s">
        <v>37</v>
      </c>
    </row>
    <row r="16" customFormat="false" ht="52.2" hidden="false" customHeight="false" outlineLevel="0" collapsed="false">
      <c r="A16" s="11" t="s">
        <v>59</v>
      </c>
      <c r="B16" s="11" t="s">
        <v>60</v>
      </c>
      <c r="C16" s="12" t="s">
        <v>142</v>
      </c>
      <c r="D16" s="11" t="s">
        <v>143</v>
      </c>
      <c r="E16" s="11" t="s">
        <v>63</v>
      </c>
      <c r="F16" s="13" t="s">
        <v>64</v>
      </c>
      <c r="G16" s="14" t="n">
        <v>6</v>
      </c>
      <c r="H16" s="14" t="n">
        <v>20</v>
      </c>
      <c r="I16" s="11" t="s">
        <v>144</v>
      </c>
      <c r="J16" s="11" t="s">
        <v>145</v>
      </c>
      <c r="K16" s="11" t="s">
        <v>146</v>
      </c>
      <c r="L16" s="11"/>
      <c r="M16" s="12" t="s">
        <v>37</v>
      </c>
    </row>
    <row r="17" customFormat="false" ht="102.95" hidden="false" customHeight="false" outlineLevel="0" collapsed="false">
      <c r="A17" s="11" t="s">
        <v>68</v>
      </c>
      <c r="B17" s="11" t="s">
        <v>147</v>
      </c>
      <c r="C17" s="12" t="s">
        <v>148</v>
      </c>
      <c r="D17" s="11" t="s">
        <v>149</v>
      </c>
      <c r="E17" s="11" t="s">
        <v>150</v>
      </c>
      <c r="F17" s="13" t="s">
        <v>72</v>
      </c>
      <c r="G17" s="14" t="n">
        <v>3</v>
      </c>
      <c r="H17" s="14" t="n">
        <v>12</v>
      </c>
      <c r="I17" s="11" t="s">
        <v>151</v>
      </c>
      <c r="J17" s="11" t="s">
        <v>152</v>
      </c>
      <c r="K17" s="11" t="s">
        <v>153</v>
      </c>
      <c r="L17" s="11" t="s">
        <v>154</v>
      </c>
      <c r="M17" s="12" t="s">
        <v>37</v>
      </c>
    </row>
    <row r="18" customFormat="false" ht="90.25" hidden="false" customHeight="false" outlineLevel="0" collapsed="false">
      <c r="A18" s="11" t="s">
        <v>68</v>
      </c>
      <c r="B18" s="11" t="s">
        <v>147</v>
      </c>
      <c r="C18" s="12" t="s">
        <v>155</v>
      </c>
      <c r="D18" s="11" t="s">
        <v>156</v>
      </c>
      <c r="E18" s="11" t="s">
        <v>157</v>
      </c>
      <c r="F18" s="13" t="s">
        <v>72</v>
      </c>
      <c r="G18" s="14" t="n">
        <v>3</v>
      </c>
      <c r="H18" s="14" t="n">
        <v>24</v>
      </c>
      <c r="I18" s="11" t="s">
        <v>158</v>
      </c>
      <c r="J18" s="11" t="s">
        <v>159</v>
      </c>
      <c r="K18" s="11" t="s">
        <v>160</v>
      </c>
      <c r="L18" s="11" t="s">
        <v>161</v>
      </c>
      <c r="M18" s="12" t="s">
        <v>37</v>
      </c>
    </row>
    <row r="19" customFormat="false" ht="52.2" hidden="false" customHeight="false" outlineLevel="0" collapsed="false">
      <c r="A19" s="11" t="s">
        <v>68</v>
      </c>
      <c r="B19" s="11" t="s">
        <v>147</v>
      </c>
      <c r="C19" s="12" t="s">
        <v>162</v>
      </c>
      <c r="D19" s="11" t="s">
        <v>163</v>
      </c>
      <c r="E19" s="11" t="s">
        <v>63</v>
      </c>
      <c r="F19" s="13" t="s">
        <v>64</v>
      </c>
      <c r="G19" s="14" t="n">
        <v>6</v>
      </c>
      <c r="H19" s="14" t="n">
        <v>24</v>
      </c>
      <c r="I19" s="11" t="s">
        <v>164</v>
      </c>
      <c r="J19" s="11" t="s">
        <v>165</v>
      </c>
      <c r="K19" s="11" t="s">
        <v>166</v>
      </c>
      <c r="L19" s="11" t="s">
        <v>167</v>
      </c>
      <c r="M19" s="12" t="s">
        <v>37</v>
      </c>
    </row>
    <row r="20" customFormat="false" ht="77.6" hidden="false" customHeight="false" outlineLevel="0" collapsed="false">
      <c r="A20" s="11" t="s">
        <v>68</v>
      </c>
      <c r="B20" s="11" t="s">
        <v>147</v>
      </c>
      <c r="C20" s="12" t="s">
        <v>168</v>
      </c>
      <c r="D20" s="11" t="s">
        <v>169</v>
      </c>
      <c r="E20" s="11" t="s">
        <v>63</v>
      </c>
      <c r="F20" s="13" t="s">
        <v>64</v>
      </c>
      <c r="G20" s="14" t="n">
        <v>6</v>
      </c>
      <c r="H20" s="14" t="n">
        <v>24</v>
      </c>
      <c r="I20" s="11" t="s">
        <v>170</v>
      </c>
      <c r="J20" s="11" t="s">
        <v>171</v>
      </c>
      <c r="K20" s="11" t="s">
        <v>172</v>
      </c>
      <c r="L20" s="11" t="s">
        <v>173</v>
      </c>
      <c r="M20" s="12" t="s">
        <v>37</v>
      </c>
    </row>
    <row r="21" customFormat="false" ht="64.9" hidden="false" customHeight="false" outlineLevel="0" collapsed="false">
      <c r="A21" s="11" t="s">
        <v>68</v>
      </c>
      <c r="B21" s="11" t="s">
        <v>147</v>
      </c>
      <c r="C21" s="12" t="s">
        <v>174</v>
      </c>
      <c r="D21" s="11" t="s">
        <v>175</v>
      </c>
      <c r="E21" s="11" t="s">
        <v>176</v>
      </c>
      <c r="F21" s="13" t="s">
        <v>64</v>
      </c>
      <c r="G21" s="14" t="n">
        <v>6</v>
      </c>
      <c r="H21" s="14" t="n">
        <v>24</v>
      </c>
      <c r="I21" s="11" t="s">
        <v>177</v>
      </c>
      <c r="J21" s="11" t="s">
        <v>178</v>
      </c>
      <c r="K21" s="11" t="s">
        <v>179</v>
      </c>
      <c r="L21" s="11" t="s">
        <v>180</v>
      </c>
      <c r="M21" s="12" t="s">
        <v>37</v>
      </c>
    </row>
    <row r="22" customFormat="false" ht="90.25" hidden="false" customHeight="false" outlineLevel="0" collapsed="false">
      <c r="A22" s="11" t="s">
        <v>68</v>
      </c>
      <c r="B22" s="11" t="s">
        <v>147</v>
      </c>
      <c r="C22" s="12" t="s">
        <v>181</v>
      </c>
      <c r="D22" s="11" t="s">
        <v>182</v>
      </c>
      <c r="E22" s="11" t="s">
        <v>183</v>
      </c>
      <c r="F22" s="13" t="s">
        <v>72</v>
      </c>
      <c r="G22" s="14" t="n">
        <v>3</v>
      </c>
      <c r="H22" s="14" t="n">
        <v>24</v>
      </c>
      <c r="I22" s="11" t="s">
        <v>184</v>
      </c>
      <c r="J22" s="11" t="s">
        <v>185</v>
      </c>
      <c r="K22" s="11" t="s">
        <v>186</v>
      </c>
      <c r="L22" s="11" t="s">
        <v>187</v>
      </c>
      <c r="M22" s="12" t="s">
        <v>37</v>
      </c>
    </row>
    <row r="23" customFormat="false" ht="64.9" hidden="false" customHeight="false" outlineLevel="0" collapsed="false">
      <c r="A23" s="11" t="s">
        <v>68</v>
      </c>
      <c r="B23" s="11" t="s">
        <v>147</v>
      </c>
      <c r="C23" s="12" t="s">
        <v>188</v>
      </c>
      <c r="D23" s="11" t="s">
        <v>189</v>
      </c>
      <c r="E23" s="11" t="s">
        <v>190</v>
      </c>
      <c r="F23" s="13" t="s">
        <v>64</v>
      </c>
      <c r="G23" s="14" t="n">
        <v>6</v>
      </c>
      <c r="H23" s="14" t="n">
        <v>24</v>
      </c>
      <c r="I23" s="11" t="s">
        <v>191</v>
      </c>
      <c r="J23" s="11" t="s">
        <v>192</v>
      </c>
      <c r="K23" s="11" t="s">
        <v>193</v>
      </c>
      <c r="L23" s="11" t="s">
        <v>194</v>
      </c>
      <c r="M23" s="12" t="s">
        <v>37</v>
      </c>
    </row>
    <row r="24" customFormat="false" ht="64.9" hidden="false" customHeight="false" outlineLevel="0" collapsed="false">
      <c r="A24" s="11" t="s">
        <v>68</v>
      </c>
      <c r="B24" s="11" t="s">
        <v>147</v>
      </c>
      <c r="C24" s="12" t="s">
        <v>195</v>
      </c>
      <c r="D24" s="11" t="s">
        <v>196</v>
      </c>
      <c r="E24" s="12" t="s">
        <v>197</v>
      </c>
      <c r="F24" s="13" t="s">
        <v>64</v>
      </c>
      <c r="G24" s="14" t="n">
        <v>6</v>
      </c>
      <c r="H24" s="14" t="n">
        <v>36</v>
      </c>
      <c r="I24" s="11" t="s">
        <v>198</v>
      </c>
      <c r="J24" s="11" t="s">
        <v>199</v>
      </c>
      <c r="K24" s="11" t="s">
        <v>200</v>
      </c>
      <c r="L24" s="11" t="s">
        <v>201</v>
      </c>
      <c r="M24" s="12" t="s">
        <v>37</v>
      </c>
    </row>
    <row r="25" customFormat="false" ht="52.2" hidden="false" customHeight="false" outlineLevel="0" collapsed="false">
      <c r="A25" s="11" t="s">
        <v>68</v>
      </c>
      <c r="B25" s="11" t="s">
        <v>147</v>
      </c>
      <c r="C25" s="12" t="s">
        <v>202</v>
      </c>
      <c r="D25" s="11" t="s">
        <v>203</v>
      </c>
      <c r="E25" s="12" t="s">
        <v>204</v>
      </c>
      <c r="F25" s="13" t="s">
        <v>72</v>
      </c>
      <c r="G25" s="14" t="n">
        <v>3</v>
      </c>
      <c r="H25" s="14" t="n">
        <v>36</v>
      </c>
      <c r="I25" s="11" t="s">
        <v>205</v>
      </c>
      <c r="J25" s="11" t="s">
        <v>206</v>
      </c>
      <c r="K25" s="11" t="s">
        <v>207</v>
      </c>
      <c r="L25" s="11" t="s">
        <v>208</v>
      </c>
      <c r="M25" s="12" t="s">
        <v>37</v>
      </c>
    </row>
    <row r="26" customFormat="false" ht="90.25" hidden="false" customHeight="false" outlineLevel="0" collapsed="false">
      <c r="A26" s="11" t="s">
        <v>68</v>
      </c>
      <c r="B26" s="11" t="s">
        <v>147</v>
      </c>
      <c r="C26" s="12" t="s">
        <v>209</v>
      </c>
      <c r="D26" s="11" t="s">
        <v>210</v>
      </c>
      <c r="E26" s="11" t="s">
        <v>71</v>
      </c>
      <c r="F26" s="13" t="s">
        <v>64</v>
      </c>
      <c r="G26" s="14" t="n">
        <v>6</v>
      </c>
      <c r="H26" s="14" t="n">
        <v>16</v>
      </c>
      <c r="I26" s="11" t="s">
        <v>211</v>
      </c>
      <c r="J26" s="11" t="s">
        <v>212</v>
      </c>
      <c r="K26" s="11" t="s">
        <v>213</v>
      </c>
      <c r="L26" s="11" t="s">
        <v>214</v>
      </c>
      <c r="M26" s="12" t="s">
        <v>37</v>
      </c>
    </row>
    <row r="27" customFormat="false" ht="64.9" hidden="false" customHeight="false" outlineLevel="0" collapsed="false">
      <c r="A27" s="11" t="s">
        <v>68</v>
      </c>
      <c r="B27" s="11" t="s">
        <v>147</v>
      </c>
      <c r="C27" s="12" t="s">
        <v>215</v>
      </c>
      <c r="D27" s="11" t="s">
        <v>216</v>
      </c>
      <c r="E27" s="11" t="s">
        <v>63</v>
      </c>
      <c r="F27" s="13" t="s">
        <v>64</v>
      </c>
      <c r="G27" s="14" t="n">
        <v>6</v>
      </c>
      <c r="H27" s="14" t="n">
        <v>24</v>
      </c>
      <c r="I27" s="11" t="s">
        <v>217</v>
      </c>
      <c r="J27" s="11" t="s">
        <v>218</v>
      </c>
      <c r="K27" s="11" t="s">
        <v>219</v>
      </c>
      <c r="L27" s="11" t="s">
        <v>220</v>
      </c>
      <c r="M27" s="12" t="s">
        <v>37</v>
      </c>
    </row>
    <row r="28" customFormat="false" ht="64.9" hidden="false" customHeight="false" outlineLevel="0" collapsed="false">
      <c r="A28" s="11" t="s">
        <v>68</v>
      </c>
      <c r="B28" s="11" t="s">
        <v>147</v>
      </c>
      <c r="C28" s="12" t="s">
        <v>221</v>
      </c>
      <c r="D28" s="11" t="s">
        <v>222</v>
      </c>
      <c r="E28" s="11" t="s">
        <v>223</v>
      </c>
      <c r="F28" s="13" t="s">
        <v>64</v>
      </c>
      <c r="G28" s="14" t="n">
        <v>6</v>
      </c>
      <c r="H28" s="14" t="n">
        <v>24</v>
      </c>
      <c r="I28" s="11" t="s">
        <v>224</v>
      </c>
      <c r="J28" s="11" t="s">
        <v>225</v>
      </c>
      <c r="K28" s="11" t="s">
        <v>226</v>
      </c>
      <c r="L28" s="11" t="s">
        <v>227</v>
      </c>
      <c r="M28" s="12" t="s">
        <v>37</v>
      </c>
    </row>
    <row r="29" customFormat="false" ht="102.95" hidden="false" customHeight="false" outlineLevel="0" collapsed="false">
      <c r="A29" s="11" t="s">
        <v>68</v>
      </c>
      <c r="B29" s="11" t="s">
        <v>147</v>
      </c>
      <c r="C29" s="12" t="s">
        <v>228</v>
      </c>
      <c r="D29" s="11" t="s">
        <v>229</v>
      </c>
      <c r="E29" s="11" t="s">
        <v>63</v>
      </c>
      <c r="F29" s="13" t="s">
        <v>72</v>
      </c>
      <c r="G29" s="14" t="n">
        <v>3</v>
      </c>
      <c r="H29" s="14" t="n">
        <v>24</v>
      </c>
      <c r="I29" s="11" t="s">
        <v>230</v>
      </c>
      <c r="J29" s="11" t="s">
        <v>231</v>
      </c>
      <c r="K29" s="11" t="s">
        <v>232</v>
      </c>
      <c r="L29" s="11" t="s">
        <v>233</v>
      </c>
      <c r="M29" s="12" t="s">
        <v>37</v>
      </c>
    </row>
    <row r="30" customFormat="false" ht="77.6" hidden="false" customHeight="false" outlineLevel="0" collapsed="false">
      <c r="A30" s="11" t="s">
        <v>68</v>
      </c>
      <c r="B30" s="11" t="s">
        <v>147</v>
      </c>
      <c r="C30" s="12" t="s">
        <v>234</v>
      </c>
      <c r="D30" s="11" t="s">
        <v>235</v>
      </c>
      <c r="E30" s="11" t="s">
        <v>157</v>
      </c>
      <c r="F30" s="13" t="s">
        <v>64</v>
      </c>
      <c r="G30" s="14" t="n">
        <v>6</v>
      </c>
      <c r="H30" s="14" t="n">
        <v>24</v>
      </c>
      <c r="I30" s="11" t="s">
        <v>236</v>
      </c>
      <c r="J30" s="11" t="s">
        <v>237</v>
      </c>
      <c r="K30" s="11" t="s">
        <v>238</v>
      </c>
      <c r="L30" s="11" t="s">
        <v>239</v>
      </c>
      <c r="M30" s="12" t="s">
        <v>37</v>
      </c>
    </row>
    <row r="31" customFormat="false" ht="102.95" hidden="false" customHeight="false" outlineLevel="0" collapsed="false">
      <c r="A31" s="11" t="s">
        <v>240</v>
      </c>
      <c r="B31" s="11" t="s">
        <v>147</v>
      </c>
      <c r="C31" s="12" t="s">
        <v>241</v>
      </c>
      <c r="D31" s="11" t="s">
        <v>242</v>
      </c>
      <c r="E31" s="11" t="s">
        <v>63</v>
      </c>
      <c r="F31" s="13" t="s">
        <v>72</v>
      </c>
      <c r="G31" s="14" t="n">
        <v>3</v>
      </c>
      <c r="H31" s="14" t="n">
        <v>12</v>
      </c>
      <c r="I31" s="11" t="s">
        <v>243</v>
      </c>
      <c r="J31" s="11" t="s">
        <v>244</v>
      </c>
      <c r="K31" s="11" t="s">
        <v>245</v>
      </c>
      <c r="L31" s="11" t="s">
        <v>246</v>
      </c>
      <c r="M31" s="12" t="s">
        <v>37</v>
      </c>
    </row>
    <row r="32" customFormat="false" ht="64.9" hidden="false" customHeight="false" outlineLevel="0" collapsed="false">
      <c r="A32" s="11" t="s">
        <v>240</v>
      </c>
      <c r="B32" s="11" t="s">
        <v>147</v>
      </c>
      <c r="C32" s="12" t="s">
        <v>247</v>
      </c>
      <c r="D32" s="11" t="s">
        <v>248</v>
      </c>
      <c r="E32" s="11" t="s">
        <v>63</v>
      </c>
      <c r="F32" s="13" t="s">
        <v>72</v>
      </c>
      <c r="G32" s="14" t="n">
        <v>3</v>
      </c>
      <c r="H32" s="14" t="n">
        <v>12</v>
      </c>
      <c r="I32" s="11" t="s">
        <v>249</v>
      </c>
      <c r="J32" s="11" t="s">
        <v>250</v>
      </c>
      <c r="K32" s="11" t="s">
        <v>251</v>
      </c>
      <c r="L32" s="11" t="s">
        <v>252</v>
      </c>
      <c r="M32" s="12" t="s">
        <v>37</v>
      </c>
    </row>
    <row r="33" customFormat="false" ht="64.9" hidden="false" customHeight="false" outlineLevel="0" collapsed="false">
      <c r="A33" s="11" t="s">
        <v>240</v>
      </c>
      <c r="B33" s="11" t="s">
        <v>147</v>
      </c>
      <c r="C33" s="12" t="s">
        <v>253</v>
      </c>
      <c r="D33" s="11" t="s">
        <v>254</v>
      </c>
      <c r="E33" s="11" t="s">
        <v>63</v>
      </c>
      <c r="F33" s="13" t="s">
        <v>72</v>
      </c>
      <c r="G33" s="14" t="n">
        <v>3</v>
      </c>
      <c r="H33" s="14" t="n">
        <v>8</v>
      </c>
      <c r="I33" s="11" t="s">
        <v>255</v>
      </c>
      <c r="J33" s="11" t="s">
        <v>256</v>
      </c>
      <c r="K33" s="11" t="s">
        <v>257</v>
      </c>
      <c r="L33" s="11" t="s">
        <v>258</v>
      </c>
      <c r="M33" s="12" t="s">
        <v>37</v>
      </c>
    </row>
    <row r="34" customFormat="false" ht="64.9" hidden="false" customHeight="false" outlineLevel="0" collapsed="false">
      <c r="A34" s="11" t="s">
        <v>240</v>
      </c>
      <c r="B34" s="11" t="s">
        <v>147</v>
      </c>
      <c r="C34" s="12" t="s">
        <v>259</v>
      </c>
      <c r="D34" s="11" t="s">
        <v>260</v>
      </c>
      <c r="E34" s="11" t="s">
        <v>63</v>
      </c>
      <c r="F34" s="13" t="s">
        <v>64</v>
      </c>
      <c r="G34" s="14" t="n">
        <v>6</v>
      </c>
      <c r="H34" s="14" t="n">
        <v>12</v>
      </c>
      <c r="I34" s="11" t="s">
        <v>261</v>
      </c>
      <c r="J34" s="11" t="s">
        <v>262</v>
      </c>
      <c r="K34" s="11" t="s">
        <v>263</v>
      </c>
      <c r="L34" s="11" t="s">
        <v>264</v>
      </c>
      <c r="M34" s="12" t="s">
        <v>37</v>
      </c>
    </row>
    <row r="35" customFormat="false" ht="64.9" hidden="false" customHeight="false" outlineLevel="0" collapsed="false">
      <c r="A35" s="11" t="s">
        <v>240</v>
      </c>
      <c r="B35" s="11" t="s">
        <v>147</v>
      </c>
      <c r="C35" s="12" t="s">
        <v>265</v>
      </c>
      <c r="D35" s="11" t="s">
        <v>266</v>
      </c>
      <c r="E35" s="11" t="s">
        <v>63</v>
      </c>
      <c r="F35" s="13" t="s">
        <v>64</v>
      </c>
      <c r="G35" s="14" t="n">
        <v>6</v>
      </c>
      <c r="H35" s="14" t="n">
        <v>8</v>
      </c>
      <c r="I35" s="11" t="s">
        <v>267</v>
      </c>
      <c r="J35" s="11" t="s">
        <v>268</v>
      </c>
      <c r="K35" s="11" t="s">
        <v>269</v>
      </c>
      <c r="L35" s="11" t="s">
        <v>270</v>
      </c>
      <c r="M35" s="12" t="s">
        <v>37</v>
      </c>
    </row>
    <row r="36" customFormat="false" ht="64.9" hidden="false" customHeight="false" outlineLevel="0" collapsed="false">
      <c r="A36" s="11" t="s">
        <v>240</v>
      </c>
      <c r="B36" s="11" t="s">
        <v>147</v>
      </c>
      <c r="C36" s="12" t="s">
        <v>271</v>
      </c>
      <c r="D36" s="11" t="s">
        <v>272</v>
      </c>
      <c r="E36" s="11" t="s">
        <v>273</v>
      </c>
      <c r="F36" s="13" t="s">
        <v>64</v>
      </c>
      <c r="G36" s="14" t="n">
        <v>6</v>
      </c>
      <c r="H36" s="14" t="n">
        <v>12</v>
      </c>
      <c r="I36" s="11" t="s">
        <v>274</v>
      </c>
      <c r="J36" s="11" t="s">
        <v>275</v>
      </c>
      <c r="K36" s="11" t="s">
        <v>276</v>
      </c>
      <c r="L36" s="11" t="s">
        <v>277</v>
      </c>
      <c r="M36" s="11" t="s">
        <v>278</v>
      </c>
    </row>
    <row r="37" customFormat="false" ht="64.9" hidden="false" customHeight="false" outlineLevel="0" collapsed="false">
      <c r="A37" s="11" t="s">
        <v>240</v>
      </c>
      <c r="B37" s="11" t="s">
        <v>147</v>
      </c>
      <c r="C37" s="12" t="s">
        <v>279</v>
      </c>
      <c r="D37" s="11" t="s">
        <v>280</v>
      </c>
      <c r="E37" s="11" t="s">
        <v>281</v>
      </c>
      <c r="F37" s="13" t="s">
        <v>64</v>
      </c>
      <c r="G37" s="14" t="n">
        <v>6</v>
      </c>
      <c r="H37" s="14" t="n">
        <v>12</v>
      </c>
      <c r="I37" s="11" t="s">
        <v>282</v>
      </c>
      <c r="J37" s="11" t="s">
        <v>283</v>
      </c>
      <c r="K37" s="11" t="s">
        <v>284</v>
      </c>
      <c r="L37" s="11" t="s">
        <v>285</v>
      </c>
      <c r="M37" s="12" t="s">
        <v>37</v>
      </c>
    </row>
    <row r="38" customFormat="false" ht="115.65" hidden="false" customHeight="false" outlineLevel="0" collapsed="false">
      <c r="A38" s="11" t="s">
        <v>240</v>
      </c>
      <c r="B38" s="11" t="s">
        <v>147</v>
      </c>
      <c r="C38" s="12" t="s">
        <v>286</v>
      </c>
      <c r="D38" s="12" t="s">
        <v>287</v>
      </c>
      <c r="E38" s="11" t="s">
        <v>63</v>
      </c>
      <c r="F38" s="13" t="s">
        <v>64</v>
      </c>
      <c r="G38" s="14" t="n">
        <v>6</v>
      </c>
      <c r="H38" s="14" t="n">
        <v>16</v>
      </c>
      <c r="I38" s="11" t="s">
        <v>288</v>
      </c>
      <c r="J38" s="11" t="s">
        <v>289</v>
      </c>
      <c r="K38" s="11" t="s">
        <v>290</v>
      </c>
      <c r="L38" s="11" t="s">
        <v>291</v>
      </c>
      <c r="M38" s="11" t="s">
        <v>292</v>
      </c>
    </row>
    <row r="39" customFormat="false" ht="90.25" hidden="false" customHeight="false" outlineLevel="0" collapsed="false">
      <c r="A39" s="11" t="s">
        <v>240</v>
      </c>
      <c r="B39" s="11" t="s">
        <v>147</v>
      </c>
      <c r="C39" s="12" t="s">
        <v>293</v>
      </c>
      <c r="D39" s="11" t="s">
        <v>294</v>
      </c>
      <c r="E39" s="11" t="s">
        <v>295</v>
      </c>
      <c r="F39" s="13" t="s">
        <v>64</v>
      </c>
      <c r="G39" s="14" t="n">
        <v>6</v>
      </c>
      <c r="H39" s="14" t="n">
        <v>16</v>
      </c>
      <c r="I39" s="11" t="s">
        <v>296</v>
      </c>
      <c r="J39" s="11" t="s">
        <v>297</v>
      </c>
      <c r="K39" s="11" t="s">
        <v>298</v>
      </c>
      <c r="L39" s="11" t="s">
        <v>299</v>
      </c>
      <c r="M39" s="12" t="s">
        <v>37</v>
      </c>
    </row>
    <row r="40" customFormat="false" ht="115.65" hidden="false" customHeight="false" outlineLevel="0" collapsed="false">
      <c r="A40" s="11" t="s">
        <v>240</v>
      </c>
      <c r="B40" s="11" t="s">
        <v>147</v>
      </c>
      <c r="C40" s="12" t="s">
        <v>300</v>
      </c>
      <c r="D40" s="11" t="s">
        <v>301</v>
      </c>
      <c r="E40" s="11" t="s">
        <v>302</v>
      </c>
      <c r="F40" s="13" t="s">
        <v>64</v>
      </c>
      <c r="G40" s="14" t="n">
        <v>6</v>
      </c>
      <c r="H40" s="14" t="n">
        <v>12</v>
      </c>
      <c r="I40" s="11" t="s">
        <v>303</v>
      </c>
      <c r="J40" s="11" t="s">
        <v>304</v>
      </c>
      <c r="K40" s="11" t="s">
        <v>305</v>
      </c>
      <c r="L40" s="11" t="s">
        <v>306</v>
      </c>
      <c r="M40" s="11" t="s">
        <v>307</v>
      </c>
    </row>
    <row r="41" customFormat="false" ht="115.65" hidden="false" customHeight="false" outlineLevel="0" collapsed="false">
      <c r="A41" s="11" t="s">
        <v>240</v>
      </c>
      <c r="B41" s="11" t="s">
        <v>147</v>
      </c>
      <c r="C41" s="12" t="s">
        <v>308</v>
      </c>
      <c r="D41" s="11" t="s">
        <v>309</v>
      </c>
      <c r="E41" s="11" t="s">
        <v>310</v>
      </c>
      <c r="F41" s="13" t="s">
        <v>64</v>
      </c>
      <c r="G41" s="14" t="n">
        <v>6</v>
      </c>
      <c r="H41" s="14" t="n">
        <v>16</v>
      </c>
      <c r="I41" s="11" t="s">
        <v>311</v>
      </c>
      <c r="J41" s="11" t="s">
        <v>312</v>
      </c>
      <c r="K41" s="11" t="s">
        <v>313</v>
      </c>
      <c r="L41" s="11" t="s">
        <v>314</v>
      </c>
      <c r="M41" s="11" t="s">
        <v>315</v>
      </c>
    </row>
    <row r="42" customFormat="false" ht="64.9" hidden="false" customHeight="false" outlineLevel="0" collapsed="false">
      <c r="A42" s="11" t="s">
        <v>240</v>
      </c>
      <c r="B42" s="11" t="s">
        <v>147</v>
      </c>
      <c r="C42" s="12" t="s">
        <v>316</v>
      </c>
      <c r="D42" s="11" t="s">
        <v>317</v>
      </c>
      <c r="E42" s="11" t="s">
        <v>63</v>
      </c>
      <c r="F42" s="13" t="s">
        <v>64</v>
      </c>
      <c r="G42" s="14" t="n">
        <v>6</v>
      </c>
      <c r="H42" s="14" t="n">
        <v>24</v>
      </c>
      <c r="I42" s="11" t="s">
        <v>318</v>
      </c>
      <c r="J42" s="11" t="s">
        <v>319</v>
      </c>
      <c r="K42" s="11" t="s">
        <v>320</v>
      </c>
      <c r="L42" s="11" t="s">
        <v>321</v>
      </c>
      <c r="M42" s="12" t="s">
        <v>37</v>
      </c>
    </row>
    <row r="43" customFormat="false" ht="64.9" hidden="false" customHeight="false" outlineLevel="0" collapsed="false">
      <c r="A43" s="11" t="s">
        <v>240</v>
      </c>
      <c r="B43" s="11" t="s">
        <v>147</v>
      </c>
      <c r="C43" s="12" t="s">
        <v>322</v>
      </c>
      <c r="D43" s="11" t="s">
        <v>323</v>
      </c>
      <c r="E43" s="11" t="s">
        <v>324</v>
      </c>
      <c r="F43" s="13" t="s">
        <v>72</v>
      </c>
      <c r="G43" s="14" t="n">
        <v>3</v>
      </c>
      <c r="H43" s="14" t="n">
        <v>24</v>
      </c>
      <c r="I43" s="11" t="s">
        <v>325</v>
      </c>
      <c r="J43" s="11" t="s">
        <v>326</v>
      </c>
      <c r="K43" s="11" t="s">
        <v>327</v>
      </c>
      <c r="L43" s="11" t="s">
        <v>328</v>
      </c>
      <c r="M43" s="11" t="s">
        <v>329</v>
      </c>
    </row>
    <row r="44" customFormat="false" ht="64.9" hidden="false" customHeight="false" outlineLevel="0" collapsed="false">
      <c r="A44" s="11" t="s">
        <v>240</v>
      </c>
      <c r="B44" s="11" t="s">
        <v>147</v>
      </c>
      <c r="C44" s="12" t="s">
        <v>330</v>
      </c>
      <c r="D44" s="11" t="s">
        <v>331</v>
      </c>
      <c r="E44" s="12" t="s">
        <v>332</v>
      </c>
      <c r="F44" s="13" t="s">
        <v>64</v>
      </c>
      <c r="G44" s="14" t="n">
        <v>6</v>
      </c>
      <c r="H44" s="14" t="n">
        <v>40</v>
      </c>
      <c r="I44" s="11" t="s">
        <v>333</v>
      </c>
      <c r="J44" s="11" t="s">
        <v>334</v>
      </c>
      <c r="K44" s="11" t="s">
        <v>335</v>
      </c>
      <c r="L44" s="11" t="s">
        <v>336</v>
      </c>
      <c r="M44" s="12" t="s">
        <v>37</v>
      </c>
    </row>
    <row r="45" customFormat="false" ht="64.9" hidden="false" customHeight="false" outlineLevel="0" collapsed="false">
      <c r="A45" s="11" t="s">
        <v>240</v>
      </c>
      <c r="B45" s="11" t="s">
        <v>147</v>
      </c>
      <c r="C45" s="12" t="s">
        <v>337</v>
      </c>
      <c r="D45" s="11" t="s">
        <v>338</v>
      </c>
      <c r="E45" s="11" t="s">
        <v>339</v>
      </c>
      <c r="F45" s="13" t="s">
        <v>64</v>
      </c>
      <c r="G45" s="14" t="n">
        <v>6</v>
      </c>
      <c r="H45" s="14" t="n">
        <v>12</v>
      </c>
      <c r="I45" s="11" t="s">
        <v>340</v>
      </c>
      <c r="J45" s="11" t="s">
        <v>341</v>
      </c>
      <c r="K45" s="11" t="s">
        <v>342</v>
      </c>
      <c r="L45" s="11" t="s">
        <v>343</v>
      </c>
      <c r="M45" s="12" t="s">
        <v>37</v>
      </c>
    </row>
    <row r="46" customFormat="false" ht="64.9" hidden="false" customHeight="false" outlineLevel="0" collapsed="false">
      <c r="A46" s="11" t="s">
        <v>240</v>
      </c>
      <c r="B46" s="11" t="s">
        <v>147</v>
      </c>
      <c r="C46" s="12" t="s">
        <v>344</v>
      </c>
      <c r="D46" s="11" t="s">
        <v>345</v>
      </c>
      <c r="E46" s="11" t="s">
        <v>63</v>
      </c>
      <c r="F46" s="13" t="s">
        <v>64</v>
      </c>
      <c r="G46" s="14" t="n">
        <v>6</v>
      </c>
      <c r="H46" s="14" t="n">
        <v>12</v>
      </c>
      <c r="I46" s="11" t="s">
        <v>346</v>
      </c>
      <c r="J46" s="11" t="s">
        <v>347</v>
      </c>
      <c r="K46" s="11" t="s">
        <v>348</v>
      </c>
      <c r="L46" s="11" t="s">
        <v>349</v>
      </c>
      <c r="M46" s="12" t="s">
        <v>37</v>
      </c>
    </row>
    <row r="47" customFormat="false" ht="77.6" hidden="false" customHeight="false" outlineLevel="0" collapsed="false">
      <c r="A47" s="11" t="s">
        <v>82</v>
      </c>
      <c r="B47" s="11" t="s">
        <v>350</v>
      </c>
      <c r="C47" s="12" t="s">
        <v>351</v>
      </c>
      <c r="D47" s="11" t="s">
        <v>352</v>
      </c>
      <c r="E47" s="11" t="s">
        <v>353</v>
      </c>
      <c r="F47" s="13" t="s">
        <v>64</v>
      </c>
      <c r="G47" s="14" t="n">
        <v>6</v>
      </c>
      <c r="H47" s="14" t="n">
        <v>24</v>
      </c>
      <c r="I47" s="11" t="s">
        <v>354</v>
      </c>
      <c r="J47" s="11" t="s">
        <v>355</v>
      </c>
      <c r="K47" s="11" t="s">
        <v>356</v>
      </c>
      <c r="L47" s="11" t="s">
        <v>357</v>
      </c>
      <c r="M47" s="11" t="s">
        <v>358</v>
      </c>
    </row>
    <row r="48" customFormat="false" ht="64.9" hidden="false" customHeight="false" outlineLevel="0" collapsed="false">
      <c r="A48" s="11" t="s">
        <v>82</v>
      </c>
      <c r="B48" s="11" t="s">
        <v>350</v>
      </c>
      <c r="C48" s="12" t="s">
        <v>359</v>
      </c>
      <c r="D48" s="11" t="s">
        <v>360</v>
      </c>
      <c r="E48" s="11" t="s">
        <v>361</v>
      </c>
      <c r="F48" s="13" t="s">
        <v>64</v>
      </c>
      <c r="G48" s="14" t="n">
        <v>6</v>
      </c>
      <c r="H48" s="14" t="n">
        <v>52</v>
      </c>
      <c r="I48" s="11" t="s">
        <v>362</v>
      </c>
      <c r="J48" s="11" t="s">
        <v>363</v>
      </c>
      <c r="K48" s="11" t="s">
        <v>364</v>
      </c>
      <c r="L48" s="11" t="s">
        <v>365</v>
      </c>
      <c r="M48" s="11" t="s">
        <v>366</v>
      </c>
    </row>
    <row r="49" customFormat="false" ht="52.2" hidden="false" customHeight="false" outlineLevel="0" collapsed="false">
      <c r="A49" s="11" t="s">
        <v>82</v>
      </c>
      <c r="B49" s="11" t="s">
        <v>350</v>
      </c>
      <c r="C49" s="12" t="s">
        <v>367</v>
      </c>
      <c r="D49" s="11" t="s">
        <v>368</v>
      </c>
      <c r="E49" s="11" t="s">
        <v>369</v>
      </c>
      <c r="F49" s="13" t="s">
        <v>64</v>
      </c>
      <c r="G49" s="14" t="n">
        <v>6</v>
      </c>
      <c r="H49" s="14" t="n">
        <v>24</v>
      </c>
      <c r="I49" s="11" t="s">
        <v>370</v>
      </c>
      <c r="J49" s="11" t="s">
        <v>371</v>
      </c>
      <c r="K49" s="11" t="s">
        <v>372</v>
      </c>
      <c r="L49" s="11" t="s">
        <v>373</v>
      </c>
      <c r="M49" s="11" t="s">
        <v>374</v>
      </c>
    </row>
    <row r="50" customFormat="false" ht="115.65" hidden="false" customHeight="false" outlineLevel="0" collapsed="false">
      <c r="A50" s="11" t="s">
        <v>82</v>
      </c>
      <c r="B50" s="11" t="s">
        <v>350</v>
      </c>
      <c r="C50" s="12" t="s">
        <v>375</v>
      </c>
      <c r="D50" s="11" t="s">
        <v>376</v>
      </c>
      <c r="E50" s="11" t="s">
        <v>377</v>
      </c>
      <c r="F50" s="13" t="s">
        <v>64</v>
      </c>
      <c r="G50" s="14" t="n">
        <v>6</v>
      </c>
      <c r="H50" s="14" t="n">
        <v>24</v>
      </c>
      <c r="I50" s="11" t="s">
        <v>378</v>
      </c>
      <c r="J50" s="11" t="s">
        <v>379</v>
      </c>
      <c r="K50" s="11" t="s">
        <v>380</v>
      </c>
      <c r="L50" s="11" t="s">
        <v>381</v>
      </c>
      <c r="M50" s="12" t="s">
        <v>37</v>
      </c>
    </row>
    <row r="51" customFormat="false" ht="64.9" hidden="false" customHeight="false" outlineLevel="0" collapsed="false">
      <c r="A51" s="11" t="s">
        <v>82</v>
      </c>
      <c r="B51" s="11" t="s">
        <v>350</v>
      </c>
      <c r="C51" s="12" t="s">
        <v>382</v>
      </c>
      <c r="D51" s="11" t="s">
        <v>383</v>
      </c>
      <c r="E51" s="11" t="s">
        <v>63</v>
      </c>
      <c r="F51" s="13" t="s">
        <v>64</v>
      </c>
      <c r="G51" s="14" t="n">
        <v>6</v>
      </c>
      <c r="H51" s="14" t="n">
        <v>12</v>
      </c>
      <c r="I51" s="11" t="s">
        <v>384</v>
      </c>
      <c r="J51" s="11" t="s">
        <v>385</v>
      </c>
      <c r="K51" s="11" t="s">
        <v>386</v>
      </c>
      <c r="L51" s="11" t="s">
        <v>387</v>
      </c>
      <c r="M51" s="12" t="s">
        <v>37</v>
      </c>
    </row>
    <row r="52" customFormat="false" ht="52.2" hidden="false" customHeight="false" outlineLevel="0" collapsed="false">
      <c r="A52" s="11" t="s">
        <v>82</v>
      </c>
      <c r="B52" s="11" t="s">
        <v>350</v>
      </c>
      <c r="C52" s="12" t="s">
        <v>388</v>
      </c>
      <c r="D52" s="11" t="s">
        <v>389</v>
      </c>
      <c r="E52" s="11" t="s">
        <v>390</v>
      </c>
      <c r="F52" s="13" t="s">
        <v>72</v>
      </c>
      <c r="G52" s="14" t="n">
        <v>3</v>
      </c>
      <c r="H52" s="14" t="n">
        <v>24</v>
      </c>
      <c r="I52" s="11" t="s">
        <v>391</v>
      </c>
      <c r="J52" s="11" t="s">
        <v>392</v>
      </c>
      <c r="K52" s="11" t="s">
        <v>393</v>
      </c>
      <c r="L52" s="11" t="s">
        <v>394</v>
      </c>
      <c r="M52" s="12" t="s">
        <v>37</v>
      </c>
    </row>
    <row r="53" customFormat="false" ht="39.55" hidden="false" customHeight="false" outlineLevel="0" collapsed="false">
      <c r="A53" s="11" t="s">
        <v>82</v>
      </c>
      <c r="B53" s="11" t="s">
        <v>350</v>
      </c>
      <c r="C53" s="12" t="s">
        <v>395</v>
      </c>
      <c r="D53" s="11" t="s">
        <v>396</v>
      </c>
      <c r="E53" s="12" t="s">
        <v>397</v>
      </c>
      <c r="F53" s="13" t="s">
        <v>64</v>
      </c>
      <c r="G53" s="14" t="n">
        <v>6</v>
      </c>
      <c r="H53" s="14" t="n">
        <v>44</v>
      </c>
      <c r="I53" s="11" t="s">
        <v>398</v>
      </c>
      <c r="J53" s="11" t="s">
        <v>399</v>
      </c>
      <c r="K53" s="11" t="s">
        <v>400</v>
      </c>
      <c r="L53" s="11" t="s">
        <v>401</v>
      </c>
      <c r="M53" s="11" t="s">
        <v>402</v>
      </c>
    </row>
    <row r="54" customFormat="false" ht="64.9" hidden="false" customHeight="false" outlineLevel="0" collapsed="false">
      <c r="A54" s="11" t="s">
        <v>82</v>
      </c>
      <c r="B54" s="11" t="s">
        <v>350</v>
      </c>
      <c r="C54" s="12" t="s">
        <v>403</v>
      </c>
      <c r="D54" s="11" t="s">
        <v>404</v>
      </c>
      <c r="E54" s="11" t="s">
        <v>63</v>
      </c>
      <c r="F54" s="13" t="s">
        <v>64</v>
      </c>
      <c r="G54" s="14" t="n">
        <v>6</v>
      </c>
      <c r="H54" s="14" t="n">
        <v>24</v>
      </c>
      <c r="I54" s="11" t="s">
        <v>405</v>
      </c>
      <c r="J54" s="11" t="s">
        <v>406</v>
      </c>
      <c r="K54" s="11" t="s">
        <v>407</v>
      </c>
      <c r="L54" s="11" t="s">
        <v>408</v>
      </c>
      <c r="M54" s="12" t="s">
        <v>37</v>
      </c>
    </row>
    <row r="55" customFormat="false" ht="64.9" hidden="false" customHeight="false" outlineLevel="0" collapsed="false">
      <c r="A55" s="11" t="s">
        <v>82</v>
      </c>
      <c r="B55" s="11" t="s">
        <v>350</v>
      </c>
      <c r="C55" s="12" t="s">
        <v>409</v>
      </c>
      <c r="D55" s="11" t="s">
        <v>410</v>
      </c>
      <c r="E55" s="11" t="s">
        <v>71</v>
      </c>
      <c r="F55" s="13" t="s">
        <v>72</v>
      </c>
      <c r="G55" s="14" t="n">
        <v>3</v>
      </c>
      <c r="H55" s="14" t="n">
        <v>52</v>
      </c>
      <c r="I55" s="11" t="s">
        <v>411</v>
      </c>
      <c r="J55" s="11" t="s">
        <v>412</v>
      </c>
      <c r="K55" s="11" t="s">
        <v>413</v>
      </c>
      <c r="L55" s="11" t="s">
        <v>414</v>
      </c>
      <c r="M55" s="12" t="s">
        <v>37</v>
      </c>
    </row>
    <row r="56" customFormat="false" ht="52.2" hidden="false" customHeight="false" outlineLevel="0" collapsed="false">
      <c r="A56" s="11" t="s">
        <v>82</v>
      </c>
      <c r="B56" s="11" t="s">
        <v>350</v>
      </c>
      <c r="C56" s="12" t="s">
        <v>415</v>
      </c>
      <c r="D56" s="11" t="s">
        <v>416</v>
      </c>
      <c r="E56" s="11" t="s">
        <v>71</v>
      </c>
      <c r="F56" s="13" t="s">
        <v>72</v>
      </c>
      <c r="G56" s="14" t="n">
        <v>3</v>
      </c>
      <c r="H56" s="14" t="n">
        <v>24</v>
      </c>
      <c r="I56" s="11" t="s">
        <v>417</v>
      </c>
      <c r="J56" s="11" t="s">
        <v>418</v>
      </c>
      <c r="K56" s="11" t="s">
        <v>419</v>
      </c>
      <c r="L56" s="11" t="s">
        <v>420</v>
      </c>
      <c r="M56" s="11" t="s">
        <v>421</v>
      </c>
    </row>
    <row r="57" customFormat="false" ht="52.2" hidden="false" customHeight="false" outlineLevel="0" collapsed="false">
      <c r="A57" s="11" t="s">
        <v>82</v>
      </c>
      <c r="B57" s="11" t="s">
        <v>350</v>
      </c>
      <c r="C57" s="12" t="s">
        <v>422</v>
      </c>
      <c r="D57" s="11" t="s">
        <v>423</v>
      </c>
      <c r="E57" s="11" t="s">
        <v>424</v>
      </c>
      <c r="F57" s="13" t="s">
        <v>72</v>
      </c>
      <c r="G57" s="14" t="n">
        <v>3</v>
      </c>
      <c r="H57" s="14" t="n">
        <v>52</v>
      </c>
      <c r="I57" s="11" t="s">
        <v>425</v>
      </c>
      <c r="J57" s="11" t="s">
        <v>426</v>
      </c>
      <c r="K57" s="11" t="s">
        <v>427</v>
      </c>
      <c r="L57" s="11" t="s">
        <v>428</v>
      </c>
      <c r="M57" s="11" t="s">
        <v>429</v>
      </c>
    </row>
    <row r="58" customFormat="false" ht="64.9" hidden="false" customHeight="false" outlineLevel="0" collapsed="false">
      <c r="A58" s="11" t="s">
        <v>82</v>
      </c>
      <c r="B58" s="11" t="s">
        <v>350</v>
      </c>
      <c r="C58" s="12" t="s">
        <v>430</v>
      </c>
      <c r="D58" s="11" t="s">
        <v>431</v>
      </c>
      <c r="E58" s="11" t="s">
        <v>63</v>
      </c>
      <c r="F58" s="13" t="s">
        <v>64</v>
      </c>
      <c r="G58" s="14" t="n">
        <v>6</v>
      </c>
      <c r="H58" s="14" t="n">
        <v>12</v>
      </c>
      <c r="I58" s="11" t="s">
        <v>432</v>
      </c>
      <c r="J58" s="11" t="s">
        <v>433</v>
      </c>
      <c r="K58" s="11" t="s">
        <v>434</v>
      </c>
      <c r="L58" s="11" t="s">
        <v>435</v>
      </c>
      <c r="M58" s="12" t="s">
        <v>37</v>
      </c>
    </row>
    <row r="59" customFormat="false" ht="77.6" hidden="false" customHeight="false" outlineLevel="0" collapsed="false">
      <c r="A59" s="11" t="s">
        <v>82</v>
      </c>
      <c r="B59" s="11" t="s">
        <v>350</v>
      </c>
      <c r="C59" s="12" t="s">
        <v>436</v>
      </c>
      <c r="D59" s="11" t="s">
        <v>437</v>
      </c>
      <c r="E59" s="11" t="s">
        <v>438</v>
      </c>
      <c r="F59" s="13" t="s">
        <v>64</v>
      </c>
      <c r="G59" s="14" t="n">
        <v>6</v>
      </c>
      <c r="H59" s="14" t="n">
        <v>24</v>
      </c>
      <c r="I59" s="11" t="s">
        <v>439</v>
      </c>
      <c r="J59" s="11" t="s">
        <v>440</v>
      </c>
      <c r="K59" s="11" t="s">
        <v>441</v>
      </c>
      <c r="L59" s="11" t="s">
        <v>442</v>
      </c>
      <c r="M59" s="12" t="s">
        <v>37</v>
      </c>
    </row>
    <row r="60" customFormat="false" ht="90.25" hidden="false" customHeight="false" outlineLevel="0" collapsed="false">
      <c r="A60" s="11" t="s">
        <v>82</v>
      </c>
      <c r="B60" s="11" t="s">
        <v>350</v>
      </c>
      <c r="C60" s="12" t="s">
        <v>443</v>
      </c>
      <c r="D60" s="11" t="s">
        <v>444</v>
      </c>
      <c r="E60" s="11" t="s">
        <v>117</v>
      </c>
      <c r="F60" s="13" t="s">
        <v>64</v>
      </c>
      <c r="G60" s="14" t="n">
        <v>6</v>
      </c>
      <c r="H60" s="14" t="n">
        <v>24</v>
      </c>
      <c r="I60" s="11" t="s">
        <v>445</v>
      </c>
      <c r="J60" s="11" t="s">
        <v>446</v>
      </c>
      <c r="K60" s="11" t="s">
        <v>447</v>
      </c>
      <c r="L60" s="11" t="s">
        <v>448</v>
      </c>
      <c r="M60" s="12" t="s">
        <v>37</v>
      </c>
    </row>
    <row r="61" customFormat="false" ht="77.6" hidden="false" customHeight="false" outlineLevel="0" collapsed="false">
      <c r="A61" s="11" t="s">
        <v>82</v>
      </c>
      <c r="B61" s="11" t="s">
        <v>350</v>
      </c>
      <c r="C61" s="12" t="s">
        <v>449</v>
      </c>
      <c r="D61" s="11" t="s">
        <v>450</v>
      </c>
      <c r="E61" s="11" t="s">
        <v>117</v>
      </c>
      <c r="F61" s="13" t="s">
        <v>64</v>
      </c>
      <c r="G61" s="14" t="n">
        <v>6</v>
      </c>
      <c r="H61" s="14" t="n">
        <v>24</v>
      </c>
      <c r="I61" s="11" t="s">
        <v>451</v>
      </c>
      <c r="J61" s="11" t="s">
        <v>452</v>
      </c>
      <c r="K61" s="11" t="s">
        <v>453</v>
      </c>
      <c r="L61" s="11" t="s">
        <v>454</v>
      </c>
      <c r="M61" s="11" t="s">
        <v>455</v>
      </c>
    </row>
    <row r="62" customFormat="false" ht="77.6" hidden="false" customHeight="false" outlineLevel="0" collapsed="false">
      <c r="A62" s="11" t="s">
        <v>82</v>
      </c>
      <c r="B62" s="11" t="s">
        <v>350</v>
      </c>
      <c r="C62" s="12" t="s">
        <v>456</v>
      </c>
      <c r="D62" s="11" t="s">
        <v>457</v>
      </c>
      <c r="E62" s="11" t="s">
        <v>71</v>
      </c>
      <c r="F62" s="13" t="s">
        <v>64</v>
      </c>
      <c r="G62" s="14" t="n">
        <v>6</v>
      </c>
      <c r="H62" s="14" t="n">
        <v>24</v>
      </c>
      <c r="I62" s="11" t="s">
        <v>458</v>
      </c>
      <c r="J62" s="11" t="s">
        <v>459</v>
      </c>
      <c r="K62" s="11" t="s">
        <v>460</v>
      </c>
      <c r="L62" s="11" t="s">
        <v>461</v>
      </c>
      <c r="M62" s="12" t="s">
        <v>37</v>
      </c>
    </row>
    <row r="63" customFormat="false" ht="77.6" hidden="false" customHeight="false" outlineLevel="0" collapsed="false">
      <c r="A63" s="11" t="s">
        <v>93</v>
      </c>
      <c r="B63" s="11" t="s">
        <v>350</v>
      </c>
      <c r="C63" s="12" t="s">
        <v>462</v>
      </c>
      <c r="D63" s="11" t="s">
        <v>463</v>
      </c>
      <c r="E63" s="11" t="s">
        <v>464</v>
      </c>
      <c r="F63" s="13" t="s">
        <v>64</v>
      </c>
      <c r="G63" s="14" t="n">
        <v>10</v>
      </c>
      <c r="H63" s="14" t="n">
        <v>44</v>
      </c>
      <c r="I63" s="11" t="s">
        <v>465</v>
      </c>
      <c r="J63" s="11" t="s">
        <v>466</v>
      </c>
      <c r="K63" s="11" t="s">
        <v>467</v>
      </c>
      <c r="L63" s="11" t="s">
        <v>468</v>
      </c>
      <c r="M63" s="12" t="s">
        <v>37</v>
      </c>
    </row>
    <row r="64" customFormat="false" ht="64.9" hidden="false" customHeight="false" outlineLevel="0" collapsed="false">
      <c r="A64" s="11" t="s">
        <v>93</v>
      </c>
      <c r="B64" s="11" t="s">
        <v>350</v>
      </c>
      <c r="C64" s="12" t="s">
        <v>469</v>
      </c>
      <c r="D64" s="11" t="s">
        <v>470</v>
      </c>
      <c r="E64" s="11" t="s">
        <v>464</v>
      </c>
      <c r="F64" s="13" t="s">
        <v>64</v>
      </c>
      <c r="G64" s="14" t="n">
        <v>10</v>
      </c>
      <c r="H64" s="14" t="n">
        <v>44</v>
      </c>
      <c r="I64" s="11" t="s">
        <v>471</v>
      </c>
      <c r="J64" s="11" t="s">
        <v>472</v>
      </c>
      <c r="K64" s="11" t="s">
        <v>473</v>
      </c>
      <c r="L64" s="11" t="s">
        <v>474</v>
      </c>
      <c r="M64" s="12" t="s">
        <v>37</v>
      </c>
    </row>
    <row r="65" customFormat="false" ht="52.2" hidden="false" customHeight="false" outlineLevel="0" collapsed="false">
      <c r="A65" s="11" t="s">
        <v>93</v>
      </c>
      <c r="B65" s="11" t="s">
        <v>350</v>
      </c>
      <c r="C65" s="12" t="s">
        <v>475</v>
      </c>
      <c r="D65" s="11" t="s">
        <v>476</v>
      </c>
      <c r="E65" s="11" t="s">
        <v>477</v>
      </c>
      <c r="F65" s="13" t="s">
        <v>64</v>
      </c>
      <c r="G65" s="14" t="n">
        <v>10</v>
      </c>
      <c r="H65" s="14" t="n">
        <v>44</v>
      </c>
      <c r="I65" s="11" t="s">
        <v>478</v>
      </c>
      <c r="J65" s="11" t="s">
        <v>479</v>
      </c>
      <c r="K65" s="11" t="s">
        <v>480</v>
      </c>
      <c r="L65" s="11" t="s">
        <v>481</v>
      </c>
      <c r="M65" s="12" t="s">
        <v>37</v>
      </c>
    </row>
    <row r="66" customFormat="false" ht="52.2" hidden="false" customHeight="false" outlineLevel="0" collapsed="false">
      <c r="A66" s="11" t="s">
        <v>93</v>
      </c>
      <c r="B66" s="11" t="s">
        <v>350</v>
      </c>
      <c r="C66" s="12" t="s">
        <v>482</v>
      </c>
      <c r="D66" s="11" t="s">
        <v>483</v>
      </c>
      <c r="E66" s="12" t="s">
        <v>484</v>
      </c>
      <c r="F66" s="13" t="s">
        <v>64</v>
      </c>
      <c r="G66" s="14" t="n">
        <v>10</v>
      </c>
      <c r="H66" s="14" t="n">
        <v>44</v>
      </c>
      <c r="I66" s="11" t="s">
        <v>485</v>
      </c>
      <c r="J66" s="11" t="s">
        <v>486</v>
      </c>
      <c r="K66" s="11" t="s">
        <v>487</v>
      </c>
      <c r="L66" s="11" t="s">
        <v>488</v>
      </c>
      <c r="M66" s="12" t="s">
        <v>37</v>
      </c>
    </row>
    <row r="67" customFormat="false" ht="64.9" hidden="false" customHeight="false" outlineLevel="0" collapsed="false">
      <c r="A67" s="11" t="s">
        <v>93</v>
      </c>
      <c r="B67" s="11" t="s">
        <v>350</v>
      </c>
      <c r="C67" s="12" t="s">
        <v>489</v>
      </c>
      <c r="D67" s="11" t="s">
        <v>490</v>
      </c>
      <c r="E67" s="12" t="s">
        <v>491</v>
      </c>
      <c r="F67" s="13" t="s">
        <v>64</v>
      </c>
      <c r="G67" s="14" t="n">
        <v>10</v>
      </c>
      <c r="H67" s="14" t="n">
        <v>44</v>
      </c>
      <c r="I67" s="11" t="s">
        <v>492</v>
      </c>
      <c r="J67" s="11" t="s">
        <v>493</v>
      </c>
      <c r="K67" s="11" t="s">
        <v>494</v>
      </c>
      <c r="L67" s="11" t="s">
        <v>495</v>
      </c>
      <c r="M67" s="12" t="s">
        <v>37</v>
      </c>
    </row>
    <row r="68" customFormat="false" ht="52.2" hidden="false" customHeight="false" outlineLevel="0" collapsed="false">
      <c r="A68" s="11" t="s">
        <v>93</v>
      </c>
      <c r="B68" s="11" t="s">
        <v>350</v>
      </c>
      <c r="C68" s="12" t="s">
        <v>496</v>
      </c>
      <c r="D68" s="11" t="s">
        <v>497</v>
      </c>
      <c r="E68" s="12" t="s">
        <v>491</v>
      </c>
      <c r="F68" s="13" t="s">
        <v>64</v>
      </c>
      <c r="G68" s="14" t="n">
        <v>10</v>
      </c>
      <c r="H68" s="14" t="n">
        <v>44</v>
      </c>
      <c r="I68" s="11" t="s">
        <v>498</v>
      </c>
      <c r="J68" s="11" t="s">
        <v>499</v>
      </c>
      <c r="K68" s="11" t="s">
        <v>500</v>
      </c>
      <c r="L68" s="11" t="s">
        <v>501</v>
      </c>
      <c r="M68" s="12" t="s">
        <v>37</v>
      </c>
    </row>
    <row r="69" customFormat="false" ht="64.9" hidden="false" customHeight="false" outlineLevel="0" collapsed="false">
      <c r="A69" s="11" t="s">
        <v>93</v>
      </c>
      <c r="B69" s="11" t="s">
        <v>350</v>
      </c>
      <c r="C69" s="12" t="s">
        <v>502</v>
      </c>
      <c r="D69" s="11" t="s">
        <v>503</v>
      </c>
      <c r="E69" s="12" t="s">
        <v>504</v>
      </c>
      <c r="F69" s="13" t="s">
        <v>64</v>
      </c>
      <c r="G69" s="14" t="n">
        <v>10</v>
      </c>
      <c r="H69" s="14" t="n">
        <v>44</v>
      </c>
      <c r="I69" s="11" t="s">
        <v>505</v>
      </c>
      <c r="J69" s="11" t="s">
        <v>506</v>
      </c>
      <c r="K69" s="11" t="s">
        <v>507</v>
      </c>
      <c r="L69" s="11" t="s">
        <v>508</v>
      </c>
      <c r="M69" s="12" t="s">
        <v>37</v>
      </c>
    </row>
    <row r="70" customFormat="false" ht="64.9" hidden="false" customHeight="false" outlineLevel="0" collapsed="false">
      <c r="A70" s="11" t="s">
        <v>93</v>
      </c>
      <c r="B70" s="11" t="s">
        <v>350</v>
      </c>
      <c r="C70" s="12" t="s">
        <v>509</v>
      </c>
      <c r="D70" s="11" t="s">
        <v>510</v>
      </c>
      <c r="E70" s="12" t="s">
        <v>511</v>
      </c>
      <c r="F70" s="13" t="s">
        <v>64</v>
      </c>
      <c r="G70" s="14" t="n">
        <v>10</v>
      </c>
      <c r="H70" s="14" t="n">
        <v>44</v>
      </c>
      <c r="I70" s="11" t="s">
        <v>512</v>
      </c>
      <c r="J70" s="11" t="s">
        <v>513</v>
      </c>
      <c r="K70" s="11" t="s">
        <v>514</v>
      </c>
      <c r="L70" s="11" t="s">
        <v>515</v>
      </c>
      <c r="M70" s="12" t="s">
        <v>37</v>
      </c>
    </row>
    <row r="71" customFormat="false" ht="64.9" hidden="false" customHeight="false" outlineLevel="0" collapsed="false">
      <c r="A71" s="11" t="s">
        <v>93</v>
      </c>
      <c r="B71" s="11" t="s">
        <v>350</v>
      </c>
      <c r="C71" s="12" t="s">
        <v>516</v>
      </c>
      <c r="D71" s="11" t="s">
        <v>517</v>
      </c>
      <c r="E71" s="12" t="s">
        <v>518</v>
      </c>
      <c r="F71" s="13" t="s">
        <v>64</v>
      </c>
      <c r="G71" s="14" t="n">
        <v>10</v>
      </c>
      <c r="H71" s="14" t="n">
        <v>44</v>
      </c>
      <c r="I71" s="11" t="s">
        <v>519</v>
      </c>
      <c r="J71" s="11" t="s">
        <v>520</v>
      </c>
      <c r="K71" s="11" t="s">
        <v>521</v>
      </c>
      <c r="L71" s="11" t="s">
        <v>522</v>
      </c>
      <c r="M71" s="12" t="s">
        <v>37</v>
      </c>
    </row>
    <row r="72" customFormat="false" ht="64.9" hidden="false" customHeight="false" outlineLevel="0" collapsed="false">
      <c r="A72" s="11" t="s">
        <v>93</v>
      </c>
      <c r="B72" s="11" t="s">
        <v>350</v>
      </c>
      <c r="C72" s="12" t="s">
        <v>523</v>
      </c>
      <c r="D72" s="11" t="s">
        <v>524</v>
      </c>
      <c r="E72" s="12" t="s">
        <v>525</v>
      </c>
      <c r="F72" s="13" t="s">
        <v>64</v>
      </c>
      <c r="G72" s="14" t="n">
        <v>10</v>
      </c>
      <c r="H72" s="14" t="n">
        <v>44</v>
      </c>
      <c r="I72" s="11" t="s">
        <v>526</v>
      </c>
      <c r="J72" s="11" t="s">
        <v>527</v>
      </c>
      <c r="K72" s="11" t="s">
        <v>528</v>
      </c>
      <c r="L72" s="11" t="s">
        <v>529</v>
      </c>
      <c r="M72" s="12" t="s">
        <v>37</v>
      </c>
    </row>
    <row r="73" customFormat="false" ht="77.6" hidden="false" customHeight="false" outlineLevel="0" collapsed="false">
      <c r="A73" s="11" t="s">
        <v>93</v>
      </c>
      <c r="B73" s="11" t="s">
        <v>350</v>
      </c>
      <c r="C73" s="12" t="s">
        <v>530</v>
      </c>
      <c r="D73" s="11" t="s">
        <v>531</v>
      </c>
      <c r="E73" s="12" t="s">
        <v>532</v>
      </c>
      <c r="F73" s="13" t="s">
        <v>64</v>
      </c>
      <c r="G73" s="14" t="n">
        <v>10</v>
      </c>
      <c r="H73" s="14" t="n">
        <v>44</v>
      </c>
      <c r="I73" s="11" t="s">
        <v>533</v>
      </c>
      <c r="J73" s="11" t="s">
        <v>534</v>
      </c>
      <c r="K73" s="11" t="s">
        <v>535</v>
      </c>
      <c r="L73" s="11" t="s">
        <v>536</v>
      </c>
      <c r="M73" s="12" t="s">
        <v>37</v>
      </c>
    </row>
    <row r="74" customFormat="false" ht="64.9" hidden="false" customHeight="false" outlineLevel="0" collapsed="false">
      <c r="A74" s="11" t="s">
        <v>93</v>
      </c>
      <c r="B74" s="11" t="s">
        <v>350</v>
      </c>
      <c r="C74" s="12" t="s">
        <v>537</v>
      </c>
      <c r="D74" s="11" t="s">
        <v>538</v>
      </c>
      <c r="E74" s="12" t="s">
        <v>397</v>
      </c>
      <c r="F74" s="13" t="s">
        <v>64</v>
      </c>
      <c r="G74" s="14" t="n">
        <v>10</v>
      </c>
      <c r="H74" s="14" t="n">
        <v>44</v>
      </c>
      <c r="I74" s="11" t="s">
        <v>539</v>
      </c>
      <c r="J74" s="11" t="s">
        <v>540</v>
      </c>
      <c r="K74" s="11" t="s">
        <v>541</v>
      </c>
      <c r="L74" s="11" t="s">
        <v>542</v>
      </c>
      <c r="M74" s="12" t="s">
        <v>37</v>
      </c>
    </row>
  </sheetData>
  <autoFilter ref="A1:M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50"/>
  </cols>
  <sheetData>
    <row r="1" customFormat="false" ht="30" hidden="false" customHeight="true" outlineLevel="0" collapsed="false">
      <c r="A1" s="6" t="s">
        <v>543</v>
      </c>
      <c r="B1" s="10" t="s">
        <v>48</v>
      </c>
      <c r="C1" s="6" t="s">
        <v>544</v>
      </c>
      <c r="D1" s="6" t="s">
        <v>545</v>
      </c>
      <c r="E1" s="6" t="s">
        <v>52</v>
      </c>
      <c r="F1" s="6" t="s">
        <v>546</v>
      </c>
      <c r="G1" s="6" t="s">
        <v>547</v>
      </c>
      <c r="H1" s="6" t="s">
        <v>548</v>
      </c>
    </row>
    <row r="2" customFormat="false" ht="15" hidden="false" customHeight="false" outlineLevel="0" collapsed="false">
      <c r="A2" s="11" t="s">
        <v>549</v>
      </c>
      <c r="B2" s="12" t="s">
        <v>550</v>
      </c>
      <c r="C2" s="15" t="s">
        <v>551</v>
      </c>
      <c r="D2" s="12" t="s">
        <v>552</v>
      </c>
      <c r="E2" s="14" t="n">
        <v>30</v>
      </c>
      <c r="F2" s="12" t="s">
        <v>553</v>
      </c>
      <c r="G2" s="11" t="s">
        <v>554</v>
      </c>
      <c r="H2" s="11" t="s">
        <v>555</v>
      </c>
    </row>
    <row r="3" customFormat="false" ht="15" hidden="false" customHeight="false" outlineLevel="0" collapsed="false">
      <c r="A3" s="11" t="s">
        <v>556</v>
      </c>
      <c r="B3" s="12" t="s">
        <v>557</v>
      </c>
      <c r="C3" s="15" t="s">
        <v>558</v>
      </c>
      <c r="D3" s="12" t="s">
        <v>559</v>
      </c>
      <c r="E3" s="14" t="n">
        <v>25</v>
      </c>
      <c r="F3" s="12" t="s">
        <v>560</v>
      </c>
      <c r="G3" s="11" t="s">
        <v>561</v>
      </c>
      <c r="H3" s="11" t="s">
        <v>562</v>
      </c>
    </row>
    <row r="4" customFormat="false" ht="15" hidden="false" customHeight="false" outlineLevel="0" collapsed="false">
      <c r="A4" s="11" t="s">
        <v>563</v>
      </c>
      <c r="B4" s="12" t="s">
        <v>564</v>
      </c>
      <c r="C4" s="15" t="s">
        <v>565</v>
      </c>
      <c r="D4" s="12" t="s">
        <v>566</v>
      </c>
      <c r="E4" s="14" t="n">
        <v>18</v>
      </c>
      <c r="F4" s="12" t="s">
        <v>567</v>
      </c>
      <c r="G4" s="11" t="s">
        <v>568</v>
      </c>
      <c r="H4" s="11" t="s">
        <v>569</v>
      </c>
    </row>
    <row r="5" customFormat="false" ht="26.85" hidden="false" customHeight="false" outlineLevel="0" collapsed="false">
      <c r="A5" s="11" t="s">
        <v>570</v>
      </c>
      <c r="B5" s="12" t="s">
        <v>571</v>
      </c>
      <c r="C5" s="15" t="s">
        <v>572</v>
      </c>
      <c r="D5" s="12" t="s">
        <v>573</v>
      </c>
      <c r="E5" s="14" t="n">
        <v>40</v>
      </c>
      <c r="F5" s="12" t="s">
        <v>567</v>
      </c>
      <c r="G5" s="11" t="s">
        <v>574</v>
      </c>
      <c r="H5" s="11" t="s">
        <v>575</v>
      </c>
    </row>
    <row r="6" customFormat="false" ht="15" hidden="false" customHeight="false" outlineLevel="0" collapsed="false">
      <c r="A6" s="11" t="s">
        <v>576</v>
      </c>
      <c r="B6" s="12" t="s">
        <v>577</v>
      </c>
      <c r="C6" s="15" t="s">
        <v>578</v>
      </c>
      <c r="D6" s="12" t="s">
        <v>332</v>
      </c>
      <c r="E6" s="14" t="n">
        <v>30</v>
      </c>
      <c r="F6" s="12" t="s">
        <v>579</v>
      </c>
      <c r="G6" s="11" t="s">
        <v>580</v>
      </c>
      <c r="H6" s="11" t="s">
        <v>581</v>
      </c>
    </row>
    <row r="7" customFormat="false" ht="26.85" hidden="false" customHeight="false" outlineLevel="0" collapsed="false">
      <c r="A7" s="11" t="s">
        <v>582</v>
      </c>
      <c r="B7" s="12" t="s">
        <v>583</v>
      </c>
      <c r="C7" s="15" t="s">
        <v>584</v>
      </c>
      <c r="D7" s="12" t="s">
        <v>511</v>
      </c>
      <c r="E7" s="14" t="n">
        <v>25</v>
      </c>
      <c r="F7" s="12" t="s">
        <v>585</v>
      </c>
      <c r="G7" s="11" t="s">
        <v>586</v>
      </c>
      <c r="H7" s="11" t="s">
        <v>587</v>
      </c>
    </row>
    <row r="8" customFormat="false" ht="26.85" hidden="false" customHeight="false" outlineLevel="0" collapsed="false">
      <c r="A8" s="11" t="s">
        <v>588</v>
      </c>
      <c r="B8" s="12" t="s">
        <v>589</v>
      </c>
      <c r="C8" s="15" t="s">
        <v>590</v>
      </c>
      <c r="D8" s="12" t="s">
        <v>591</v>
      </c>
      <c r="E8" s="14" t="n">
        <v>6</v>
      </c>
      <c r="F8" s="12" t="s">
        <v>592</v>
      </c>
      <c r="G8" s="11" t="s">
        <v>593</v>
      </c>
      <c r="H8" s="11" t="s">
        <v>594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8" min="6" style="0" width="50"/>
  </cols>
  <sheetData>
    <row r="1" customFormat="false" ht="30" hidden="false" customHeight="true" outlineLevel="0" collapsed="false">
      <c r="A1" s="6" t="s">
        <v>595</v>
      </c>
      <c r="B1" s="10" t="s">
        <v>48</v>
      </c>
      <c r="C1" s="6" t="s">
        <v>49</v>
      </c>
      <c r="D1" s="6" t="s">
        <v>596</v>
      </c>
      <c r="E1" s="6" t="s">
        <v>54</v>
      </c>
      <c r="F1" s="6" t="s">
        <v>55</v>
      </c>
      <c r="G1" s="6" t="s">
        <v>56</v>
      </c>
      <c r="H1" s="6" t="s">
        <v>57</v>
      </c>
    </row>
    <row r="2" customFormat="false" ht="52.2" hidden="false" customHeight="false" outlineLevel="0" collapsed="false">
      <c r="A2" s="11" t="s">
        <v>597</v>
      </c>
      <c r="B2" s="12" t="s">
        <v>598</v>
      </c>
      <c r="C2" s="11" t="s">
        <v>599</v>
      </c>
      <c r="D2" s="11" t="s">
        <v>600</v>
      </c>
      <c r="E2" s="11" t="s">
        <v>601</v>
      </c>
      <c r="F2" s="11" t="s">
        <v>602</v>
      </c>
      <c r="G2" s="11" t="s">
        <v>603</v>
      </c>
      <c r="H2" s="11"/>
    </row>
    <row r="3" customFormat="false" ht="52.2" hidden="false" customHeight="false" outlineLevel="0" collapsed="false">
      <c r="A3" s="11" t="s">
        <v>597</v>
      </c>
      <c r="B3" s="12" t="s">
        <v>604</v>
      </c>
      <c r="C3" s="11" t="s">
        <v>605</v>
      </c>
      <c r="D3" s="11" t="s">
        <v>606</v>
      </c>
      <c r="E3" s="11" t="s">
        <v>607</v>
      </c>
      <c r="F3" s="11" t="s">
        <v>608</v>
      </c>
      <c r="G3" s="11" t="s">
        <v>609</v>
      </c>
      <c r="H3" s="11"/>
    </row>
    <row r="4" customFormat="false" ht="64.9" hidden="false" customHeight="false" outlineLevel="0" collapsed="false">
      <c r="A4" s="11" t="s">
        <v>597</v>
      </c>
      <c r="B4" s="12" t="s">
        <v>610</v>
      </c>
      <c r="C4" s="11" t="s">
        <v>611</v>
      </c>
      <c r="D4" s="11" t="s">
        <v>612</v>
      </c>
      <c r="E4" s="11" t="s">
        <v>613</v>
      </c>
      <c r="F4" s="11" t="s">
        <v>614</v>
      </c>
      <c r="G4" s="11" t="s">
        <v>615</v>
      </c>
      <c r="H4" s="11"/>
    </row>
    <row r="5" customFormat="false" ht="64.9" hidden="false" customHeight="false" outlineLevel="0" collapsed="false">
      <c r="A5" s="11" t="s">
        <v>616</v>
      </c>
      <c r="B5" s="12" t="s">
        <v>617</v>
      </c>
      <c r="C5" s="11" t="s">
        <v>618</v>
      </c>
      <c r="D5" s="11" t="s">
        <v>600</v>
      </c>
      <c r="E5" s="11" t="s">
        <v>619</v>
      </c>
      <c r="F5" s="11" t="s">
        <v>620</v>
      </c>
      <c r="G5" s="11" t="s">
        <v>621</v>
      </c>
      <c r="H5" s="11"/>
    </row>
    <row r="6" customFormat="false" ht="52.2" hidden="false" customHeight="false" outlineLevel="0" collapsed="false">
      <c r="A6" s="11" t="s">
        <v>616</v>
      </c>
      <c r="B6" s="12" t="s">
        <v>622</v>
      </c>
      <c r="C6" s="11" t="s">
        <v>623</v>
      </c>
      <c r="D6" s="11" t="s">
        <v>606</v>
      </c>
      <c r="E6" s="11" t="s">
        <v>624</v>
      </c>
      <c r="F6" s="11" t="s">
        <v>625</v>
      </c>
      <c r="G6" s="11" t="s">
        <v>626</v>
      </c>
      <c r="H6" s="11"/>
    </row>
    <row r="7" customFormat="false" ht="64.9" hidden="false" customHeight="false" outlineLevel="0" collapsed="false">
      <c r="A7" s="11" t="s">
        <v>627</v>
      </c>
      <c r="B7" s="12" t="s">
        <v>628</v>
      </c>
      <c r="C7" s="11" t="s">
        <v>629</v>
      </c>
      <c r="D7" s="11" t="s">
        <v>600</v>
      </c>
      <c r="E7" s="11" t="s">
        <v>630</v>
      </c>
      <c r="F7" s="11" t="s">
        <v>631</v>
      </c>
      <c r="G7" s="11" t="s">
        <v>632</v>
      </c>
      <c r="H7" s="11"/>
    </row>
    <row r="8" customFormat="false" ht="52.2" hidden="false" customHeight="false" outlineLevel="0" collapsed="false">
      <c r="A8" s="11" t="s">
        <v>627</v>
      </c>
      <c r="B8" s="12" t="s">
        <v>633</v>
      </c>
      <c r="C8" s="11" t="s">
        <v>634</v>
      </c>
      <c r="D8" s="11" t="s">
        <v>635</v>
      </c>
      <c r="E8" s="11" t="s">
        <v>636</v>
      </c>
      <c r="F8" s="11" t="s">
        <v>637</v>
      </c>
      <c r="G8" s="11" t="s">
        <v>638</v>
      </c>
      <c r="H8" s="11"/>
    </row>
    <row r="9" customFormat="false" ht="52.2" hidden="false" customHeight="false" outlineLevel="0" collapsed="false">
      <c r="A9" s="11" t="s">
        <v>627</v>
      </c>
      <c r="B9" s="12" t="s">
        <v>639</v>
      </c>
      <c r="C9" s="11" t="s">
        <v>640</v>
      </c>
      <c r="D9" s="11" t="s">
        <v>641</v>
      </c>
      <c r="E9" s="11" t="s">
        <v>642</v>
      </c>
      <c r="F9" s="11" t="s">
        <v>643</v>
      </c>
      <c r="G9" s="11" t="s">
        <v>644</v>
      </c>
      <c r="H9" s="11"/>
    </row>
    <row r="10" customFormat="false" ht="52.2" hidden="false" customHeight="false" outlineLevel="0" collapsed="false">
      <c r="A10" s="11" t="s">
        <v>645</v>
      </c>
      <c r="B10" s="12" t="s">
        <v>646</v>
      </c>
      <c r="C10" s="11" t="s">
        <v>647</v>
      </c>
      <c r="D10" s="11" t="s">
        <v>635</v>
      </c>
      <c r="E10" s="11" t="s">
        <v>648</v>
      </c>
      <c r="F10" s="11" t="s">
        <v>649</v>
      </c>
      <c r="G10" s="11" t="s">
        <v>650</v>
      </c>
      <c r="H10" s="11"/>
    </row>
    <row r="11" customFormat="false" ht="52.2" hidden="false" customHeight="false" outlineLevel="0" collapsed="false">
      <c r="A11" s="11" t="s">
        <v>645</v>
      </c>
      <c r="B11" s="12" t="s">
        <v>651</v>
      </c>
      <c r="C11" s="11" t="s">
        <v>652</v>
      </c>
      <c r="D11" s="11" t="s">
        <v>635</v>
      </c>
      <c r="E11" s="11" t="s">
        <v>653</v>
      </c>
      <c r="F11" s="11" t="s">
        <v>654</v>
      </c>
      <c r="G11" s="11" t="s">
        <v>655</v>
      </c>
      <c r="H11" s="11" t="s">
        <v>656</v>
      </c>
    </row>
    <row r="12" customFormat="false" ht="52.2" hidden="false" customHeight="false" outlineLevel="0" collapsed="false">
      <c r="A12" s="11" t="s">
        <v>645</v>
      </c>
      <c r="B12" s="12" t="s">
        <v>657</v>
      </c>
      <c r="C12" s="11" t="s">
        <v>658</v>
      </c>
      <c r="D12" s="11" t="s">
        <v>635</v>
      </c>
      <c r="E12" s="11" t="s">
        <v>659</v>
      </c>
      <c r="F12" s="11" t="s">
        <v>660</v>
      </c>
      <c r="G12" s="11" t="s">
        <v>661</v>
      </c>
      <c r="H12" s="11"/>
    </row>
    <row r="13" customFormat="false" ht="52.2" hidden="false" customHeight="false" outlineLevel="0" collapsed="false">
      <c r="A13" s="11" t="s">
        <v>645</v>
      </c>
      <c r="B13" s="12" t="s">
        <v>662</v>
      </c>
      <c r="C13" s="11" t="s">
        <v>663</v>
      </c>
      <c r="D13" s="11" t="s">
        <v>635</v>
      </c>
      <c r="E13" s="11" t="s">
        <v>664</v>
      </c>
      <c r="F13" s="11" t="s">
        <v>665</v>
      </c>
      <c r="G13" s="11" t="s">
        <v>666</v>
      </c>
      <c r="H13" s="11"/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30" hidden="false" customHeight="true" outlineLevel="0" collapsed="false">
      <c r="A1" s="6" t="s">
        <v>667</v>
      </c>
      <c r="B1" s="10" t="s">
        <v>48</v>
      </c>
      <c r="C1" s="6" t="s">
        <v>668</v>
      </c>
      <c r="D1" s="6" t="s">
        <v>669</v>
      </c>
      <c r="E1" s="6" t="s">
        <v>670</v>
      </c>
      <c r="F1" s="6" t="s">
        <v>671</v>
      </c>
      <c r="G1" s="6" t="s">
        <v>672</v>
      </c>
      <c r="H1" s="6" t="s">
        <v>673</v>
      </c>
    </row>
    <row r="2" customFormat="false" ht="26.85" hidden="false" customHeight="false" outlineLevel="0" collapsed="false">
      <c r="A2" s="11" t="s">
        <v>674</v>
      </c>
      <c r="B2" s="12" t="s">
        <v>675</v>
      </c>
      <c r="C2" s="11" t="s">
        <v>676</v>
      </c>
      <c r="D2" s="16" t="n">
        <v>75000</v>
      </c>
      <c r="E2" s="14" t="n">
        <v>2</v>
      </c>
      <c r="F2" s="14" t="n">
        <v>6</v>
      </c>
      <c r="G2" s="11" t="s">
        <v>677</v>
      </c>
      <c r="H2" s="11" t="s">
        <v>678</v>
      </c>
    </row>
    <row r="3" customFormat="false" ht="26.85" hidden="false" customHeight="false" outlineLevel="0" collapsed="false">
      <c r="A3" s="11" t="s">
        <v>679</v>
      </c>
      <c r="B3" s="12" t="s">
        <v>680</v>
      </c>
      <c r="C3" s="11" t="s">
        <v>681</v>
      </c>
      <c r="D3" s="16" t="n">
        <v>30000</v>
      </c>
      <c r="E3" s="14" t="n">
        <v>2</v>
      </c>
      <c r="F3" s="14" t="n">
        <v>4</v>
      </c>
      <c r="G3" s="11" t="s">
        <v>682</v>
      </c>
      <c r="H3" s="11" t="s">
        <v>683</v>
      </c>
    </row>
    <row r="4" customFormat="false" ht="26.85" hidden="false" customHeight="false" outlineLevel="0" collapsed="false">
      <c r="A4" s="11" t="s">
        <v>684</v>
      </c>
      <c r="B4" s="12" t="s">
        <v>685</v>
      </c>
      <c r="C4" s="11" t="s">
        <v>686</v>
      </c>
      <c r="D4" s="16" t="n">
        <v>120000</v>
      </c>
      <c r="E4" s="14" t="n">
        <v>3</v>
      </c>
      <c r="F4" s="14" t="n">
        <v>8</v>
      </c>
      <c r="G4" s="11" t="s">
        <v>687</v>
      </c>
      <c r="H4" s="11" t="s">
        <v>688</v>
      </c>
    </row>
    <row r="5" customFormat="false" ht="26.85" hidden="false" customHeight="false" outlineLevel="0" collapsed="false">
      <c r="A5" s="11" t="s">
        <v>689</v>
      </c>
      <c r="B5" s="12" t="s">
        <v>690</v>
      </c>
      <c r="C5" s="11" t="s">
        <v>691</v>
      </c>
      <c r="D5" s="16" t="n">
        <v>105000</v>
      </c>
      <c r="E5" s="14" t="n">
        <v>2</v>
      </c>
      <c r="F5" s="14" t="n">
        <v>6</v>
      </c>
      <c r="G5" s="11" t="s">
        <v>692</v>
      </c>
      <c r="H5" s="11" t="s">
        <v>693</v>
      </c>
    </row>
    <row r="6" customFormat="false" ht="26.85" hidden="false" customHeight="false" outlineLevel="0" collapsed="false">
      <c r="A6" s="11" t="s">
        <v>694</v>
      </c>
      <c r="B6" s="12" t="s">
        <v>695</v>
      </c>
      <c r="C6" s="11" t="s">
        <v>696</v>
      </c>
      <c r="D6" s="16" t="n">
        <v>45000</v>
      </c>
      <c r="E6" s="14" t="n">
        <v>4</v>
      </c>
      <c r="F6" s="14" t="n">
        <v>4</v>
      </c>
      <c r="G6" s="11" t="s">
        <v>697</v>
      </c>
      <c r="H6" s="11" t="s">
        <v>698</v>
      </c>
    </row>
    <row r="7" customFormat="false" ht="26.85" hidden="false" customHeight="false" outlineLevel="0" collapsed="false">
      <c r="A7" s="11" t="s">
        <v>699</v>
      </c>
      <c r="B7" s="12" t="s">
        <v>700</v>
      </c>
      <c r="C7" s="11" t="s">
        <v>701</v>
      </c>
      <c r="D7" s="16" t="n">
        <v>240000</v>
      </c>
      <c r="E7" s="14" t="n">
        <v>6</v>
      </c>
      <c r="F7" s="14" t="n">
        <v>10</v>
      </c>
      <c r="G7" s="11" t="s">
        <v>702</v>
      </c>
      <c r="H7" s="11" t="s">
        <v>703</v>
      </c>
    </row>
    <row r="8" customFormat="false" ht="26.85" hidden="false" customHeight="false" outlineLevel="0" collapsed="false">
      <c r="A8" s="11" t="s">
        <v>704</v>
      </c>
      <c r="B8" s="12" t="s">
        <v>705</v>
      </c>
      <c r="C8" s="11" t="s">
        <v>706</v>
      </c>
      <c r="D8" s="16" t="n">
        <v>90000</v>
      </c>
      <c r="E8" s="14" t="n">
        <v>2</v>
      </c>
      <c r="F8" s="14" t="n">
        <v>6</v>
      </c>
      <c r="G8" s="11" t="s">
        <v>707</v>
      </c>
      <c r="H8" s="11" t="s">
        <v>708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6" min="6" style="0" width="36"/>
  </cols>
  <sheetData>
    <row r="1" customFormat="false" ht="30" hidden="false" customHeight="true" outlineLevel="0" collapsed="false">
      <c r="A1" s="6" t="s">
        <v>709</v>
      </c>
      <c r="B1" s="10" t="s">
        <v>48</v>
      </c>
      <c r="C1" s="6" t="s">
        <v>668</v>
      </c>
      <c r="D1" s="6" t="s">
        <v>710</v>
      </c>
      <c r="E1" s="6" t="s">
        <v>711</v>
      </c>
      <c r="F1" s="6" t="s">
        <v>712</v>
      </c>
    </row>
    <row r="2" customFormat="false" ht="26.85" hidden="false" customHeight="false" outlineLevel="0" collapsed="false">
      <c r="A2" s="11" t="s">
        <v>713</v>
      </c>
      <c r="B2" s="12" t="s">
        <v>714</v>
      </c>
      <c r="C2" s="11" t="s">
        <v>715</v>
      </c>
      <c r="D2" s="16" t="n">
        <v>24000</v>
      </c>
      <c r="E2" s="16" t="n">
        <v>1500</v>
      </c>
      <c r="F2" s="11" t="s">
        <v>716</v>
      </c>
    </row>
    <row r="3" customFormat="false" ht="26.85" hidden="false" customHeight="false" outlineLevel="0" collapsed="false">
      <c r="A3" s="11" t="s">
        <v>717</v>
      </c>
      <c r="B3" s="12" t="s">
        <v>718</v>
      </c>
      <c r="C3" s="11" t="s">
        <v>719</v>
      </c>
      <c r="D3" s="16" t="n">
        <v>18000</v>
      </c>
      <c r="E3" s="16" t="n">
        <v>900</v>
      </c>
      <c r="F3" s="11" t="s">
        <v>720</v>
      </c>
    </row>
    <row r="4" customFormat="false" ht="26.85" hidden="false" customHeight="false" outlineLevel="0" collapsed="false">
      <c r="A4" s="11" t="s">
        <v>721</v>
      </c>
      <c r="B4" s="12" t="s">
        <v>722</v>
      </c>
      <c r="C4" s="11" t="s">
        <v>723</v>
      </c>
      <c r="D4" s="16" t="n">
        <v>45000</v>
      </c>
      <c r="E4" s="16" t="n">
        <v>1200</v>
      </c>
      <c r="F4" s="11" t="s">
        <v>724</v>
      </c>
    </row>
    <row r="5" customFormat="false" ht="26.85" hidden="false" customHeight="false" outlineLevel="0" collapsed="false">
      <c r="A5" s="11" t="s">
        <v>725</v>
      </c>
      <c r="B5" s="12" t="s">
        <v>726</v>
      </c>
      <c r="C5" s="11" t="s">
        <v>727</v>
      </c>
      <c r="D5" s="16" t="n">
        <v>36000</v>
      </c>
      <c r="E5" s="16" t="n">
        <v>1200</v>
      </c>
      <c r="F5" s="11" t="s">
        <v>728</v>
      </c>
    </row>
    <row r="6" customFormat="false" ht="26.85" hidden="false" customHeight="false" outlineLevel="0" collapsed="false">
      <c r="A6" s="11" t="s">
        <v>729</v>
      </c>
      <c r="B6" s="12" t="s">
        <v>730</v>
      </c>
      <c r="C6" s="11" t="s">
        <v>731</v>
      </c>
      <c r="D6" s="16" t="n">
        <v>30000</v>
      </c>
      <c r="E6" s="16" t="n">
        <v>900</v>
      </c>
      <c r="F6" s="11" t="s">
        <v>732</v>
      </c>
    </row>
    <row r="7" customFormat="false" ht="26.85" hidden="false" customHeight="false" outlineLevel="0" collapsed="false">
      <c r="A7" s="11" t="s">
        <v>733</v>
      </c>
      <c r="B7" s="12" t="s">
        <v>734</v>
      </c>
      <c r="C7" s="11" t="s">
        <v>735</v>
      </c>
      <c r="D7" s="16" t="n">
        <v>60000</v>
      </c>
      <c r="E7" s="16" t="n">
        <v>1500</v>
      </c>
      <c r="F7" s="11" t="s">
        <v>736</v>
      </c>
    </row>
    <row r="8" customFormat="false" ht="26.85" hidden="false" customHeight="false" outlineLevel="0" collapsed="false">
      <c r="A8" s="11" t="s">
        <v>737</v>
      </c>
      <c r="B8" s="12" t="s">
        <v>738</v>
      </c>
      <c r="C8" s="11" t="s">
        <v>739</v>
      </c>
      <c r="D8" s="16" t="n">
        <v>27000</v>
      </c>
      <c r="E8" s="16" t="n">
        <v>900</v>
      </c>
      <c r="F8" s="11" t="s">
        <v>740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36"/>
    <col collapsed="false" customWidth="true" hidden="false" outlineLevel="0" max="16" min="16" style="0" width="28"/>
  </cols>
  <sheetData>
    <row r="1" customFormat="false" ht="30" hidden="false" customHeight="true" outlineLevel="0" collapsed="false">
      <c r="A1" s="6" t="s">
        <v>46</v>
      </c>
      <c r="B1" s="6" t="s">
        <v>543</v>
      </c>
      <c r="C1" s="10" t="s">
        <v>48</v>
      </c>
      <c r="D1" s="6" t="s">
        <v>741</v>
      </c>
      <c r="E1" s="6" t="s">
        <v>742</v>
      </c>
      <c r="F1" s="6" t="s">
        <v>743</v>
      </c>
      <c r="G1" s="6" t="s">
        <v>744</v>
      </c>
      <c r="H1" s="6" t="s">
        <v>745</v>
      </c>
      <c r="I1" s="6" t="s">
        <v>746</v>
      </c>
      <c r="J1" s="6" t="s">
        <v>747</v>
      </c>
      <c r="K1" s="6" t="s">
        <v>748</v>
      </c>
      <c r="L1" s="6" t="s">
        <v>749</v>
      </c>
      <c r="M1" s="6" t="s">
        <v>750</v>
      </c>
      <c r="N1" s="6" t="s">
        <v>751</v>
      </c>
      <c r="O1" s="6" t="s">
        <v>752</v>
      </c>
      <c r="P1" s="6" t="s">
        <v>753</v>
      </c>
    </row>
    <row r="2" customFormat="false" ht="15" hidden="false" customHeight="false" outlineLevel="0" collapsed="false">
      <c r="A2" s="11" t="s">
        <v>754</v>
      </c>
      <c r="B2" s="11" t="s">
        <v>755</v>
      </c>
      <c r="C2" s="12" t="s">
        <v>756</v>
      </c>
      <c r="D2" s="13" t="s">
        <v>757</v>
      </c>
      <c r="E2" s="14" t="n">
        <v>1</v>
      </c>
      <c r="F2" s="11" t="s">
        <v>758</v>
      </c>
      <c r="G2" s="16" t="n">
        <v>10000</v>
      </c>
      <c r="H2" s="14" t="n">
        <v>0</v>
      </c>
      <c r="I2" s="11" t="s">
        <v>759</v>
      </c>
      <c r="J2" s="14" t="n">
        <v>8</v>
      </c>
      <c r="K2" s="11" t="s">
        <v>760</v>
      </c>
      <c r="L2" s="15" t="s">
        <v>761</v>
      </c>
      <c r="M2" s="12" t="s">
        <v>37</v>
      </c>
      <c r="N2" s="13" t="s">
        <v>64</v>
      </c>
      <c r="O2" s="12" t="s">
        <v>37</v>
      </c>
      <c r="P2" s="12" t="s">
        <v>37</v>
      </c>
    </row>
    <row r="3" customFormat="false" ht="15" hidden="false" customHeight="false" outlineLevel="0" collapsed="false">
      <c r="A3" s="11" t="s">
        <v>754</v>
      </c>
      <c r="B3" s="11" t="s">
        <v>762</v>
      </c>
      <c r="C3" s="12" t="s">
        <v>763</v>
      </c>
      <c r="D3" s="13" t="s">
        <v>757</v>
      </c>
      <c r="E3" s="14" t="n">
        <v>1</v>
      </c>
      <c r="F3" s="11" t="s">
        <v>764</v>
      </c>
      <c r="G3" s="16" t="n">
        <v>10000</v>
      </c>
      <c r="H3" s="14" t="n">
        <v>0</v>
      </c>
      <c r="I3" s="11" t="s">
        <v>759</v>
      </c>
      <c r="J3" s="14" t="n">
        <v>8</v>
      </c>
      <c r="K3" s="11" t="s">
        <v>760</v>
      </c>
      <c r="L3" s="15" t="s">
        <v>765</v>
      </c>
      <c r="M3" s="12" t="s">
        <v>37</v>
      </c>
      <c r="N3" s="13" t="s">
        <v>64</v>
      </c>
      <c r="O3" s="12" t="s">
        <v>37</v>
      </c>
      <c r="P3" s="11" t="s">
        <v>766</v>
      </c>
    </row>
    <row r="4" customFormat="false" ht="15" hidden="false" customHeight="false" outlineLevel="0" collapsed="false">
      <c r="A4" s="11" t="s">
        <v>754</v>
      </c>
      <c r="B4" s="11" t="s">
        <v>767</v>
      </c>
      <c r="C4" s="12" t="s">
        <v>768</v>
      </c>
      <c r="D4" s="13" t="s">
        <v>769</v>
      </c>
      <c r="E4" s="14" t="n">
        <v>3</v>
      </c>
      <c r="F4" s="11" t="s">
        <v>770</v>
      </c>
      <c r="G4" s="16" t="n">
        <v>150000</v>
      </c>
      <c r="H4" s="14" t="n">
        <v>10</v>
      </c>
      <c r="I4" s="11" t="s">
        <v>759</v>
      </c>
      <c r="J4" s="14" t="n">
        <v>30</v>
      </c>
      <c r="K4" s="11" t="s">
        <v>771</v>
      </c>
      <c r="L4" s="15" t="s">
        <v>772</v>
      </c>
      <c r="M4" s="11" t="s">
        <v>767</v>
      </c>
      <c r="N4" s="13" t="s">
        <v>64</v>
      </c>
      <c r="O4" s="12" t="s">
        <v>37</v>
      </c>
      <c r="P4" s="11" t="s">
        <v>773</v>
      </c>
    </row>
    <row r="5" customFormat="false" ht="15" hidden="false" customHeight="false" outlineLevel="0" collapsed="false">
      <c r="A5" s="11" t="s">
        <v>754</v>
      </c>
      <c r="B5" s="11" t="s">
        <v>774</v>
      </c>
      <c r="C5" s="12" t="s">
        <v>775</v>
      </c>
      <c r="D5" s="13" t="s">
        <v>757</v>
      </c>
      <c r="E5" s="14" t="n">
        <v>1</v>
      </c>
      <c r="F5" s="11" t="s">
        <v>776</v>
      </c>
      <c r="G5" s="16" t="n">
        <v>10000</v>
      </c>
      <c r="H5" s="14" t="n">
        <v>0</v>
      </c>
      <c r="I5" s="11" t="s">
        <v>759</v>
      </c>
      <c r="J5" s="14" t="n">
        <v>8</v>
      </c>
      <c r="K5" s="11" t="s">
        <v>760</v>
      </c>
      <c r="L5" s="15" t="s">
        <v>777</v>
      </c>
      <c r="M5" s="12" t="s">
        <v>37</v>
      </c>
      <c r="N5" s="13" t="s">
        <v>64</v>
      </c>
      <c r="O5" s="12" t="s">
        <v>37</v>
      </c>
      <c r="P5" s="11" t="s">
        <v>778</v>
      </c>
    </row>
    <row r="6" customFormat="false" ht="15" hidden="false" customHeight="false" outlineLevel="0" collapsed="false">
      <c r="A6" s="11" t="s">
        <v>754</v>
      </c>
      <c r="B6" s="11" t="s">
        <v>779</v>
      </c>
      <c r="C6" s="12" t="s">
        <v>780</v>
      </c>
      <c r="D6" s="13" t="s">
        <v>781</v>
      </c>
      <c r="E6" s="14" t="n">
        <v>2</v>
      </c>
      <c r="F6" s="11" t="s">
        <v>782</v>
      </c>
      <c r="G6" s="16" t="n">
        <v>35000</v>
      </c>
      <c r="H6" s="14" t="n">
        <v>3</v>
      </c>
      <c r="I6" s="11" t="s">
        <v>759</v>
      </c>
      <c r="J6" s="14" t="n">
        <v>15</v>
      </c>
      <c r="K6" s="11" t="s">
        <v>783</v>
      </c>
      <c r="L6" s="15" t="s">
        <v>777</v>
      </c>
      <c r="M6" s="12" t="s">
        <v>37</v>
      </c>
      <c r="N6" s="13" t="s">
        <v>64</v>
      </c>
      <c r="O6" s="12" t="s">
        <v>37</v>
      </c>
      <c r="P6" s="11" t="s">
        <v>784</v>
      </c>
    </row>
    <row r="7" customFormat="false" ht="15" hidden="false" customHeight="false" outlineLevel="0" collapsed="false">
      <c r="A7" s="11" t="s">
        <v>754</v>
      </c>
      <c r="B7" s="11" t="s">
        <v>785</v>
      </c>
      <c r="C7" s="12" t="s">
        <v>786</v>
      </c>
      <c r="D7" s="13" t="s">
        <v>769</v>
      </c>
      <c r="E7" s="14" t="n">
        <v>3</v>
      </c>
      <c r="F7" s="11" t="s">
        <v>787</v>
      </c>
      <c r="G7" s="16" t="n">
        <v>150000</v>
      </c>
      <c r="H7" s="14" t="n">
        <v>10</v>
      </c>
      <c r="I7" s="11" t="s">
        <v>759</v>
      </c>
      <c r="J7" s="14" t="n">
        <v>30</v>
      </c>
      <c r="K7" s="11" t="s">
        <v>771</v>
      </c>
      <c r="L7" s="15" t="s">
        <v>788</v>
      </c>
      <c r="M7" s="11" t="s">
        <v>789</v>
      </c>
      <c r="N7" s="13" t="s">
        <v>64</v>
      </c>
      <c r="O7" s="12" t="s">
        <v>37</v>
      </c>
      <c r="P7" s="11" t="s">
        <v>790</v>
      </c>
    </row>
    <row r="8" customFormat="false" ht="15" hidden="false" customHeight="false" outlineLevel="0" collapsed="false">
      <c r="A8" s="11" t="s">
        <v>754</v>
      </c>
      <c r="B8" s="11" t="s">
        <v>791</v>
      </c>
      <c r="C8" s="12" t="s">
        <v>792</v>
      </c>
      <c r="D8" s="13" t="s">
        <v>781</v>
      </c>
      <c r="E8" s="14" t="n">
        <v>2</v>
      </c>
      <c r="F8" s="11" t="s">
        <v>793</v>
      </c>
      <c r="G8" s="16" t="n">
        <v>35000</v>
      </c>
      <c r="H8" s="14" t="n">
        <v>3</v>
      </c>
      <c r="I8" s="11" t="s">
        <v>794</v>
      </c>
      <c r="J8" s="14" t="n">
        <v>15</v>
      </c>
      <c r="K8" s="11" t="s">
        <v>795</v>
      </c>
      <c r="L8" s="15" t="s">
        <v>796</v>
      </c>
      <c r="M8" s="11" t="s">
        <v>791</v>
      </c>
      <c r="N8" s="13" t="s">
        <v>64</v>
      </c>
      <c r="O8" s="12" t="s">
        <v>37</v>
      </c>
      <c r="P8" s="11" t="s">
        <v>797</v>
      </c>
    </row>
    <row r="9" customFormat="false" ht="15" hidden="false" customHeight="false" outlineLevel="0" collapsed="false">
      <c r="A9" s="11" t="s">
        <v>754</v>
      </c>
      <c r="B9" s="11" t="s">
        <v>798</v>
      </c>
      <c r="C9" s="12" t="s">
        <v>799</v>
      </c>
      <c r="D9" s="13" t="s">
        <v>757</v>
      </c>
      <c r="E9" s="14" t="n">
        <v>1</v>
      </c>
      <c r="F9" s="11" t="s">
        <v>800</v>
      </c>
      <c r="G9" s="16" t="n">
        <v>10000</v>
      </c>
      <c r="H9" s="14" t="n">
        <v>0</v>
      </c>
      <c r="I9" s="11" t="s">
        <v>759</v>
      </c>
      <c r="J9" s="14" t="n">
        <v>8</v>
      </c>
      <c r="K9" s="11" t="s">
        <v>760</v>
      </c>
      <c r="L9" s="15" t="s">
        <v>801</v>
      </c>
      <c r="M9" s="12" t="s">
        <v>37</v>
      </c>
      <c r="N9" s="13" t="s">
        <v>64</v>
      </c>
      <c r="O9" s="12" t="s">
        <v>37</v>
      </c>
      <c r="P9" s="11" t="s">
        <v>802</v>
      </c>
    </row>
    <row r="10" customFormat="false" ht="15" hidden="false" customHeight="false" outlineLevel="0" collapsed="false">
      <c r="A10" s="11" t="s">
        <v>754</v>
      </c>
      <c r="B10" s="11" t="s">
        <v>803</v>
      </c>
      <c r="C10" s="12" t="s">
        <v>804</v>
      </c>
      <c r="D10" s="13" t="s">
        <v>781</v>
      </c>
      <c r="E10" s="14" t="n">
        <v>2</v>
      </c>
      <c r="F10" s="11" t="s">
        <v>805</v>
      </c>
      <c r="G10" s="16" t="n">
        <v>35000</v>
      </c>
      <c r="H10" s="14" t="n">
        <v>3</v>
      </c>
      <c r="I10" s="11" t="s">
        <v>759</v>
      </c>
      <c r="J10" s="14" t="n">
        <v>15</v>
      </c>
      <c r="K10" s="11" t="s">
        <v>783</v>
      </c>
      <c r="L10" s="15" t="s">
        <v>801</v>
      </c>
      <c r="M10" s="12" t="s">
        <v>37</v>
      </c>
      <c r="N10" s="13" t="s">
        <v>64</v>
      </c>
      <c r="O10" s="12" t="s">
        <v>37</v>
      </c>
      <c r="P10" s="11" t="s">
        <v>806</v>
      </c>
    </row>
    <row r="11" customFormat="false" ht="15" hidden="false" customHeight="false" outlineLevel="0" collapsed="false">
      <c r="A11" s="11" t="s">
        <v>754</v>
      </c>
      <c r="B11" s="11" t="s">
        <v>807</v>
      </c>
      <c r="C11" s="12" t="s">
        <v>808</v>
      </c>
      <c r="D11" s="13" t="s">
        <v>769</v>
      </c>
      <c r="E11" s="14" t="n">
        <v>3</v>
      </c>
      <c r="F11" s="11" t="s">
        <v>809</v>
      </c>
      <c r="G11" s="16" t="n">
        <v>150000</v>
      </c>
      <c r="H11" s="14" t="n">
        <v>10</v>
      </c>
      <c r="I11" s="11" t="s">
        <v>759</v>
      </c>
      <c r="J11" s="14" t="n">
        <v>30</v>
      </c>
      <c r="K11" s="11" t="s">
        <v>771</v>
      </c>
      <c r="L11" s="15" t="s">
        <v>810</v>
      </c>
      <c r="M11" s="11" t="s">
        <v>811</v>
      </c>
      <c r="N11" s="13" t="s">
        <v>64</v>
      </c>
      <c r="O11" s="12" t="s">
        <v>37</v>
      </c>
      <c r="P11" s="11" t="s">
        <v>812</v>
      </c>
    </row>
    <row r="12" customFormat="false" ht="15" hidden="false" customHeight="false" outlineLevel="0" collapsed="false">
      <c r="A12" s="11" t="s">
        <v>754</v>
      </c>
      <c r="B12" s="11" t="s">
        <v>813</v>
      </c>
      <c r="C12" s="12" t="s">
        <v>814</v>
      </c>
      <c r="D12" s="13" t="s">
        <v>757</v>
      </c>
      <c r="E12" s="14" t="n">
        <v>1</v>
      </c>
      <c r="F12" s="11" t="s">
        <v>815</v>
      </c>
      <c r="G12" s="16" t="n">
        <v>10000</v>
      </c>
      <c r="H12" s="14" t="n">
        <v>0</v>
      </c>
      <c r="I12" s="11" t="s">
        <v>759</v>
      </c>
      <c r="J12" s="14" t="n">
        <v>8</v>
      </c>
      <c r="K12" s="11" t="s">
        <v>760</v>
      </c>
      <c r="L12" s="15" t="s">
        <v>816</v>
      </c>
      <c r="M12" s="12" t="s">
        <v>37</v>
      </c>
      <c r="N12" s="13" t="s">
        <v>64</v>
      </c>
      <c r="O12" s="12" t="s">
        <v>37</v>
      </c>
      <c r="P12" s="12" t="s">
        <v>37</v>
      </c>
    </row>
    <row r="13" customFormat="false" ht="15" hidden="false" customHeight="false" outlineLevel="0" collapsed="false">
      <c r="A13" s="11" t="s">
        <v>754</v>
      </c>
      <c r="B13" s="11" t="s">
        <v>817</v>
      </c>
      <c r="C13" s="12" t="s">
        <v>818</v>
      </c>
      <c r="D13" s="13" t="s">
        <v>781</v>
      </c>
      <c r="E13" s="14" t="n">
        <v>2</v>
      </c>
      <c r="F13" s="11" t="s">
        <v>819</v>
      </c>
      <c r="G13" s="16" t="n">
        <v>35000</v>
      </c>
      <c r="H13" s="14" t="n">
        <v>3</v>
      </c>
      <c r="I13" s="11" t="s">
        <v>759</v>
      </c>
      <c r="J13" s="14" t="n">
        <v>15</v>
      </c>
      <c r="K13" s="11" t="s">
        <v>783</v>
      </c>
      <c r="L13" s="15" t="s">
        <v>820</v>
      </c>
      <c r="M13" s="12" t="s">
        <v>37</v>
      </c>
      <c r="N13" s="13" t="s">
        <v>64</v>
      </c>
      <c r="O13" s="12" t="s">
        <v>37</v>
      </c>
      <c r="P13" s="12" t="s">
        <v>37</v>
      </c>
    </row>
    <row r="14" customFormat="false" ht="15" hidden="false" customHeight="false" outlineLevel="0" collapsed="false">
      <c r="A14" s="11" t="s">
        <v>754</v>
      </c>
      <c r="B14" s="11" t="s">
        <v>821</v>
      </c>
      <c r="C14" s="12" t="s">
        <v>822</v>
      </c>
      <c r="D14" s="13" t="s">
        <v>769</v>
      </c>
      <c r="E14" s="14" t="n">
        <v>3</v>
      </c>
      <c r="F14" s="11" t="s">
        <v>823</v>
      </c>
      <c r="G14" s="16" t="n">
        <v>150000</v>
      </c>
      <c r="H14" s="14" t="n">
        <v>10</v>
      </c>
      <c r="I14" s="11" t="s">
        <v>759</v>
      </c>
      <c r="J14" s="14" t="n">
        <v>30</v>
      </c>
      <c r="K14" s="11" t="s">
        <v>771</v>
      </c>
      <c r="L14" s="15" t="s">
        <v>824</v>
      </c>
      <c r="M14" s="11" t="s">
        <v>825</v>
      </c>
      <c r="N14" s="13" t="s">
        <v>64</v>
      </c>
      <c r="O14" s="12" t="s">
        <v>37</v>
      </c>
      <c r="P14" s="12" t="s">
        <v>37</v>
      </c>
    </row>
    <row r="15" customFormat="false" ht="15" hidden="false" customHeight="false" outlineLevel="0" collapsed="false">
      <c r="A15" s="11" t="s">
        <v>754</v>
      </c>
      <c r="B15" s="11" t="s">
        <v>826</v>
      </c>
      <c r="C15" s="12" t="s">
        <v>827</v>
      </c>
      <c r="D15" s="13" t="s">
        <v>781</v>
      </c>
      <c r="E15" s="14" t="n">
        <v>2</v>
      </c>
      <c r="F15" s="11" t="s">
        <v>828</v>
      </c>
      <c r="G15" s="16" t="n">
        <v>35000</v>
      </c>
      <c r="H15" s="14" t="n">
        <v>3</v>
      </c>
      <c r="I15" s="11" t="s">
        <v>759</v>
      </c>
      <c r="J15" s="14" t="n">
        <v>15</v>
      </c>
      <c r="K15" s="11" t="s">
        <v>783</v>
      </c>
      <c r="L15" s="15" t="s">
        <v>829</v>
      </c>
      <c r="M15" s="12" t="s">
        <v>37</v>
      </c>
      <c r="N15" s="13" t="s">
        <v>64</v>
      </c>
      <c r="O15" s="12" t="s">
        <v>37</v>
      </c>
      <c r="P15" s="12" t="s">
        <v>37</v>
      </c>
    </row>
    <row r="16" customFormat="false" ht="15" hidden="false" customHeight="false" outlineLevel="0" collapsed="false">
      <c r="A16" s="11" t="s">
        <v>754</v>
      </c>
      <c r="B16" s="11" t="s">
        <v>830</v>
      </c>
      <c r="C16" s="12" t="s">
        <v>831</v>
      </c>
      <c r="D16" s="13" t="s">
        <v>757</v>
      </c>
      <c r="E16" s="14" t="n">
        <v>1</v>
      </c>
      <c r="F16" s="11" t="s">
        <v>832</v>
      </c>
      <c r="G16" s="16" t="n">
        <v>10000</v>
      </c>
      <c r="H16" s="14" t="n">
        <v>0</v>
      </c>
      <c r="I16" s="11" t="s">
        <v>794</v>
      </c>
      <c r="J16" s="14" t="n">
        <v>8</v>
      </c>
      <c r="K16" s="11" t="s">
        <v>833</v>
      </c>
      <c r="L16" s="15" t="s">
        <v>834</v>
      </c>
      <c r="M16" s="12" t="s">
        <v>37</v>
      </c>
      <c r="N16" s="13" t="s">
        <v>64</v>
      </c>
      <c r="O16" s="12" t="s">
        <v>37</v>
      </c>
      <c r="P16" s="12" t="s">
        <v>37</v>
      </c>
    </row>
    <row r="17" customFormat="false" ht="15" hidden="false" customHeight="false" outlineLevel="0" collapsed="false">
      <c r="A17" s="11" t="s">
        <v>754</v>
      </c>
      <c r="B17" s="11" t="s">
        <v>835</v>
      </c>
      <c r="C17" s="12" t="s">
        <v>836</v>
      </c>
      <c r="D17" s="13" t="s">
        <v>769</v>
      </c>
      <c r="E17" s="14" t="n">
        <v>3</v>
      </c>
      <c r="F17" s="11" t="s">
        <v>837</v>
      </c>
      <c r="G17" s="16" t="n">
        <v>150000</v>
      </c>
      <c r="H17" s="14" t="n">
        <v>10</v>
      </c>
      <c r="I17" s="11" t="s">
        <v>759</v>
      </c>
      <c r="J17" s="14" t="n">
        <v>30</v>
      </c>
      <c r="K17" s="11" t="s">
        <v>771</v>
      </c>
      <c r="L17" s="15" t="s">
        <v>838</v>
      </c>
      <c r="M17" s="11" t="s">
        <v>839</v>
      </c>
      <c r="N17" s="13" t="s">
        <v>64</v>
      </c>
      <c r="O17" s="12" t="s">
        <v>37</v>
      </c>
      <c r="P17" s="11" t="s">
        <v>840</v>
      </c>
    </row>
    <row r="18" customFormat="false" ht="15" hidden="false" customHeight="false" outlineLevel="0" collapsed="false">
      <c r="A18" s="11" t="s">
        <v>841</v>
      </c>
      <c r="B18" s="11" t="s">
        <v>842</v>
      </c>
      <c r="C18" s="12" t="s">
        <v>843</v>
      </c>
      <c r="D18" s="13" t="s">
        <v>781</v>
      </c>
      <c r="E18" s="14" t="n">
        <v>2</v>
      </c>
      <c r="F18" s="11" t="s">
        <v>844</v>
      </c>
      <c r="G18" s="16" t="n">
        <v>35000</v>
      </c>
      <c r="H18" s="14" t="n">
        <v>3</v>
      </c>
      <c r="I18" s="11" t="s">
        <v>759</v>
      </c>
      <c r="J18" s="14" t="n">
        <v>15</v>
      </c>
      <c r="K18" s="11" t="s">
        <v>783</v>
      </c>
      <c r="L18" s="15" t="s">
        <v>845</v>
      </c>
      <c r="M18" s="11" t="s">
        <v>842</v>
      </c>
      <c r="N18" s="13" t="s">
        <v>64</v>
      </c>
      <c r="O18" s="12" t="s">
        <v>37</v>
      </c>
      <c r="P18" s="12" t="s">
        <v>37</v>
      </c>
    </row>
    <row r="19" customFormat="false" ht="15" hidden="false" customHeight="false" outlineLevel="0" collapsed="false">
      <c r="A19" s="11" t="s">
        <v>841</v>
      </c>
      <c r="B19" s="11" t="s">
        <v>846</v>
      </c>
      <c r="C19" s="12" t="s">
        <v>847</v>
      </c>
      <c r="D19" s="13" t="s">
        <v>781</v>
      </c>
      <c r="E19" s="14" t="n">
        <v>2</v>
      </c>
      <c r="F19" s="11" t="s">
        <v>848</v>
      </c>
      <c r="G19" s="16" t="n">
        <v>35000</v>
      </c>
      <c r="H19" s="14" t="n">
        <v>3</v>
      </c>
      <c r="I19" s="11" t="s">
        <v>849</v>
      </c>
      <c r="J19" s="14" t="n">
        <v>15</v>
      </c>
      <c r="K19" s="11" t="s">
        <v>850</v>
      </c>
      <c r="L19" s="15" t="s">
        <v>851</v>
      </c>
      <c r="M19" s="12" t="s">
        <v>37</v>
      </c>
      <c r="N19" s="13" t="s">
        <v>64</v>
      </c>
      <c r="O19" s="12" t="s">
        <v>37</v>
      </c>
      <c r="P19" s="12" t="s">
        <v>37</v>
      </c>
    </row>
    <row r="20" customFormat="false" ht="15" hidden="false" customHeight="false" outlineLevel="0" collapsed="false">
      <c r="A20" s="11" t="s">
        <v>841</v>
      </c>
      <c r="B20" s="11" t="s">
        <v>852</v>
      </c>
      <c r="C20" s="12" t="s">
        <v>853</v>
      </c>
      <c r="D20" s="13" t="s">
        <v>757</v>
      </c>
      <c r="E20" s="14" t="n">
        <v>1</v>
      </c>
      <c r="F20" s="11" t="s">
        <v>854</v>
      </c>
      <c r="G20" s="16" t="n">
        <v>10000</v>
      </c>
      <c r="H20" s="14" t="n">
        <v>0</v>
      </c>
      <c r="I20" s="11" t="s">
        <v>759</v>
      </c>
      <c r="J20" s="14" t="n">
        <v>8</v>
      </c>
      <c r="K20" s="11" t="s">
        <v>760</v>
      </c>
      <c r="L20" s="15" t="s">
        <v>590</v>
      </c>
      <c r="M20" s="12" t="s">
        <v>37</v>
      </c>
      <c r="N20" s="13" t="s">
        <v>64</v>
      </c>
      <c r="O20" s="12" t="s">
        <v>37</v>
      </c>
      <c r="P20" s="12" t="s">
        <v>37</v>
      </c>
    </row>
    <row r="21" customFormat="false" ht="15" hidden="false" customHeight="false" outlineLevel="0" collapsed="false">
      <c r="A21" s="11" t="s">
        <v>841</v>
      </c>
      <c r="B21" s="11" t="s">
        <v>855</v>
      </c>
      <c r="C21" s="12" t="s">
        <v>856</v>
      </c>
      <c r="D21" s="13" t="s">
        <v>757</v>
      </c>
      <c r="E21" s="14" t="n">
        <v>1</v>
      </c>
      <c r="F21" s="11" t="s">
        <v>857</v>
      </c>
      <c r="G21" s="16" t="n">
        <v>10000</v>
      </c>
      <c r="H21" s="14" t="n">
        <v>0</v>
      </c>
      <c r="I21" s="11" t="s">
        <v>794</v>
      </c>
      <c r="J21" s="14" t="n">
        <v>8</v>
      </c>
      <c r="K21" s="11" t="s">
        <v>833</v>
      </c>
      <c r="L21" s="15" t="s">
        <v>858</v>
      </c>
      <c r="M21" s="11" t="s">
        <v>855</v>
      </c>
      <c r="N21" s="13" t="s">
        <v>64</v>
      </c>
      <c r="O21" s="12" t="s">
        <v>37</v>
      </c>
      <c r="P21" s="12" t="s">
        <v>37</v>
      </c>
    </row>
    <row r="22" customFormat="false" ht="26.85" hidden="false" customHeight="false" outlineLevel="0" collapsed="false">
      <c r="A22" s="11" t="s">
        <v>841</v>
      </c>
      <c r="B22" s="11" t="s">
        <v>859</v>
      </c>
      <c r="C22" s="12" t="s">
        <v>860</v>
      </c>
      <c r="D22" s="13" t="s">
        <v>781</v>
      </c>
      <c r="E22" s="14" t="n">
        <v>2</v>
      </c>
      <c r="F22" s="12" t="s">
        <v>861</v>
      </c>
      <c r="G22" s="16" t="n">
        <v>35000</v>
      </c>
      <c r="H22" s="14" t="n">
        <v>3</v>
      </c>
      <c r="I22" s="11" t="s">
        <v>759</v>
      </c>
      <c r="J22" s="14" t="n">
        <v>15</v>
      </c>
      <c r="K22" s="11" t="s">
        <v>783</v>
      </c>
      <c r="L22" s="15" t="s">
        <v>862</v>
      </c>
      <c r="M22" s="12" t="s">
        <v>37</v>
      </c>
      <c r="N22" s="13" t="s">
        <v>64</v>
      </c>
      <c r="O22" s="12" t="s">
        <v>37</v>
      </c>
      <c r="P22" s="11" t="s">
        <v>863</v>
      </c>
    </row>
    <row r="23" customFormat="false" ht="15" hidden="false" customHeight="false" outlineLevel="0" collapsed="false">
      <c r="A23" s="11" t="s">
        <v>841</v>
      </c>
      <c r="B23" s="11" t="s">
        <v>864</v>
      </c>
      <c r="C23" s="12" t="s">
        <v>865</v>
      </c>
      <c r="D23" s="13" t="s">
        <v>757</v>
      </c>
      <c r="E23" s="14" t="n">
        <v>1</v>
      </c>
      <c r="F23" s="11" t="s">
        <v>866</v>
      </c>
      <c r="G23" s="16" t="n">
        <v>10000</v>
      </c>
      <c r="H23" s="14" t="n">
        <v>0</v>
      </c>
      <c r="I23" s="11" t="s">
        <v>759</v>
      </c>
      <c r="J23" s="14" t="n">
        <v>8</v>
      </c>
      <c r="K23" s="11" t="s">
        <v>760</v>
      </c>
      <c r="L23" s="15" t="s">
        <v>867</v>
      </c>
      <c r="M23" s="12" t="s">
        <v>37</v>
      </c>
      <c r="N23" s="13" t="s">
        <v>64</v>
      </c>
      <c r="O23" s="12" t="s">
        <v>37</v>
      </c>
      <c r="P23" s="12" t="s">
        <v>37</v>
      </c>
    </row>
    <row r="24" customFormat="false" ht="15" hidden="false" customHeight="false" outlineLevel="0" collapsed="false">
      <c r="A24" s="11" t="s">
        <v>841</v>
      </c>
      <c r="B24" s="11" t="s">
        <v>868</v>
      </c>
      <c r="C24" s="12" t="s">
        <v>869</v>
      </c>
      <c r="D24" s="13" t="s">
        <v>781</v>
      </c>
      <c r="E24" s="14" t="n">
        <v>2</v>
      </c>
      <c r="F24" s="11" t="s">
        <v>870</v>
      </c>
      <c r="G24" s="16" t="n">
        <v>35000</v>
      </c>
      <c r="H24" s="14" t="n">
        <v>3</v>
      </c>
      <c r="I24" s="11" t="s">
        <v>759</v>
      </c>
      <c r="J24" s="14" t="n">
        <v>15</v>
      </c>
      <c r="K24" s="11" t="s">
        <v>783</v>
      </c>
      <c r="L24" s="15" t="s">
        <v>871</v>
      </c>
      <c r="M24" s="12" t="s">
        <v>37</v>
      </c>
      <c r="N24" s="13" t="s">
        <v>64</v>
      </c>
      <c r="O24" s="12" t="s">
        <v>37</v>
      </c>
      <c r="P24" s="12" t="s">
        <v>37</v>
      </c>
    </row>
    <row r="25" customFormat="false" ht="15" hidden="false" customHeight="false" outlineLevel="0" collapsed="false">
      <c r="A25" s="11" t="s">
        <v>841</v>
      </c>
      <c r="B25" s="11" t="s">
        <v>872</v>
      </c>
      <c r="C25" s="12" t="s">
        <v>873</v>
      </c>
      <c r="D25" s="13" t="s">
        <v>769</v>
      </c>
      <c r="E25" s="14" t="n">
        <v>3</v>
      </c>
      <c r="F25" s="11" t="s">
        <v>874</v>
      </c>
      <c r="G25" s="16" t="n">
        <v>150000</v>
      </c>
      <c r="H25" s="14" t="n">
        <v>10</v>
      </c>
      <c r="I25" s="11" t="s">
        <v>759</v>
      </c>
      <c r="J25" s="14" t="n">
        <v>30</v>
      </c>
      <c r="K25" s="11" t="s">
        <v>771</v>
      </c>
      <c r="L25" s="15" t="s">
        <v>875</v>
      </c>
      <c r="M25" s="11" t="s">
        <v>876</v>
      </c>
      <c r="N25" s="13" t="s">
        <v>64</v>
      </c>
      <c r="O25" s="12" t="s">
        <v>37</v>
      </c>
      <c r="P25" s="12" t="s">
        <v>37</v>
      </c>
    </row>
    <row r="26" customFormat="false" ht="15" hidden="false" customHeight="false" outlineLevel="0" collapsed="false">
      <c r="A26" s="11" t="s">
        <v>841</v>
      </c>
      <c r="B26" s="11" t="s">
        <v>877</v>
      </c>
      <c r="C26" s="12" t="s">
        <v>878</v>
      </c>
      <c r="D26" s="13" t="s">
        <v>757</v>
      </c>
      <c r="E26" s="14" t="n">
        <v>1</v>
      </c>
      <c r="F26" s="11" t="s">
        <v>879</v>
      </c>
      <c r="G26" s="16" t="n">
        <v>10000</v>
      </c>
      <c r="H26" s="14" t="n">
        <v>0</v>
      </c>
      <c r="I26" s="11" t="s">
        <v>759</v>
      </c>
      <c r="J26" s="14" t="n">
        <v>8</v>
      </c>
      <c r="K26" s="11" t="s">
        <v>760</v>
      </c>
      <c r="L26" s="15" t="s">
        <v>880</v>
      </c>
      <c r="M26" s="12" t="s">
        <v>37</v>
      </c>
      <c r="N26" s="13" t="s">
        <v>64</v>
      </c>
      <c r="O26" s="12" t="s">
        <v>37</v>
      </c>
      <c r="P26" s="11" t="s">
        <v>881</v>
      </c>
    </row>
    <row r="27" customFormat="false" ht="26.85" hidden="false" customHeight="false" outlineLevel="0" collapsed="false">
      <c r="A27" s="11" t="s">
        <v>841</v>
      </c>
      <c r="B27" s="11" t="s">
        <v>882</v>
      </c>
      <c r="C27" s="12" t="s">
        <v>883</v>
      </c>
      <c r="D27" s="13" t="s">
        <v>781</v>
      </c>
      <c r="E27" s="14" t="n">
        <v>2</v>
      </c>
      <c r="F27" s="11" t="s">
        <v>884</v>
      </c>
      <c r="G27" s="16" t="n">
        <v>35000</v>
      </c>
      <c r="H27" s="14" t="n">
        <v>3</v>
      </c>
      <c r="I27" s="11" t="s">
        <v>759</v>
      </c>
      <c r="J27" s="14" t="n">
        <v>15</v>
      </c>
      <c r="K27" s="11" t="s">
        <v>783</v>
      </c>
      <c r="L27" s="15" t="s">
        <v>885</v>
      </c>
      <c r="M27" s="11" t="s">
        <v>886</v>
      </c>
      <c r="N27" s="13" t="s">
        <v>64</v>
      </c>
      <c r="O27" s="12" t="s">
        <v>37</v>
      </c>
      <c r="P27" s="12" t="s">
        <v>37</v>
      </c>
    </row>
    <row r="28" customFormat="false" ht="15" hidden="false" customHeight="false" outlineLevel="0" collapsed="false">
      <c r="A28" s="11" t="s">
        <v>841</v>
      </c>
      <c r="B28" s="11" t="s">
        <v>887</v>
      </c>
      <c r="C28" s="12" t="s">
        <v>888</v>
      </c>
      <c r="D28" s="13" t="s">
        <v>781</v>
      </c>
      <c r="E28" s="14" t="n">
        <v>2</v>
      </c>
      <c r="F28" s="11" t="s">
        <v>889</v>
      </c>
      <c r="G28" s="16" t="n">
        <v>35000</v>
      </c>
      <c r="H28" s="14" t="n">
        <v>3</v>
      </c>
      <c r="I28" s="11" t="s">
        <v>759</v>
      </c>
      <c r="J28" s="14" t="n">
        <v>15</v>
      </c>
      <c r="K28" s="11" t="s">
        <v>783</v>
      </c>
      <c r="L28" s="15" t="s">
        <v>890</v>
      </c>
      <c r="M28" s="12" t="s">
        <v>37</v>
      </c>
      <c r="N28" s="13" t="s">
        <v>64</v>
      </c>
      <c r="O28" s="12" t="s">
        <v>37</v>
      </c>
      <c r="P28" s="12" t="s">
        <v>37</v>
      </c>
    </row>
    <row r="29" customFormat="false" ht="15" hidden="false" customHeight="false" outlineLevel="0" collapsed="false">
      <c r="A29" s="11" t="s">
        <v>841</v>
      </c>
      <c r="B29" s="11" t="s">
        <v>891</v>
      </c>
      <c r="C29" s="12" t="s">
        <v>892</v>
      </c>
      <c r="D29" s="13" t="s">
        <v>757</v>
      </c>
      <c r="E29" s="14" t="n">
        <v>1</v>
      </c>
      <c r="F29" s="11" t="s">
        <v>893</v>
      </c>
      <c r="G29" s="16" t="n">
        <v>10000</v>
      </c>
      <c r="H29" s="14" t="n">
        <v>0</v>
      </c>
      <c r="I29" s="11" t="s">
        <v>759</v>
      </c>
      <c r="J29" s="14" t="n">
        <v>8</v>
      </c>
      <c r="K29" s="11" t="s">
        <v>760</v>
      </c>
      <c r="L29" s="15" t="s">
        <v>894</v>
      </c>
      <c r="M29" s="12" t="s">
        <v>37</v>
      </c>
      <c r="N29" s="13" t="s">
        <v>64</v>
      </c>
      <c r="O29" s="12" t="s">
        <v>37</v>
      </c>
      <c r="P29" s="12" t="s">
        <v>37</v>
      </c>
    </row>
    <row r="30" customFormat="false" ht="15" hidden="false" customHeight="false" outlineLevel="0" collapsed="false">
      <c r="A30" s="11" t="s">
        <v>895</v>
      </c>
      <c r="B30" s="11" t="s">
        <v>896</v>
      </c>
      <c r="C30" s="12" t="s">
        <v>897</v>
      </c>
      <c r="D30" s="13" t="s">
        <v>757</v>
      </c>
      <c r="E30" s="14" t="n">
        <v>1</v>
      </c>
      <c r="F30" s="11" t="s">
        <v>898</v>
      </c>
      <c r="G30" s="16" t="n">
        <v>10000</v>
      </c>
      <c r="H30" s="14" t="n">
        <v>0</v>
      </c>
      <c r="I30" s="11" t="s">
        <v>849</v>
      </c>
      <c r="J30" s="14" t="n">
        <v>8</v>
      </c>
      <c r="K30" s="11" t="s">
        <v>899</v>
      </c>
      <c r="L30" s="15" t="s">
        <v>900</v>
      </c>
      <c r="M30" s="12" t="s">
        <v>37</v>
      </c>
      <c r="N30" s="13" t="s">
        <v>64</v>
      </c>
      <c r="O30" s="12" t="s">
        <v>37</v>
      </c>
      <c r="P30" s="12" t="s">
        <v>37</v>
      </c>
    </row>
    <row r="31" customFormat="false" ht="15" hidden="false" customHeight="false" outlineLevel="0" collapsed="false">
      <c r="A31" s="11" t="s">
        <v>895</v>
      </c>
      <c r="B31" s="11" t="s">
        <v>901</v>
      </c>
      <c r="C31" s="12" t="s">
        <v>902</v>
      </c>
      <c r="D31" s="13" t="s">
        <v>757</v>
      </c>
      <c r="E31" s="14" t="n">
        <v>1</v>
      </c>
      <c r="F31" s="11" t="s">
        <v>903</v>
      </c>
      <c r="G31" s="16" t="n">
        <v>10000</v>
      </c>
      <c r="H31" s="14" t="n">
        <v>0</v>
      </c>
      <c r="I31" s="11" t="s">
        <v>759</v>
      </c>
      <c r="J31" s="14" t="n">
        <v>8</v>
      </c>
      <c r="K31" s="11" t="s">
        <v>760</v>
      </c>
      <c r="L31" s="15" t="s">
        <v>904</v>
      </c>
      <c r="M31" s="12" t="s">
        <v>37</v>
      </c>
      <c r="N31" s="13" t="s">
        <v>64</v>
      </c>
      <c r="O31" s="12" t="s">
        <v>37</v>
      </c>
      <c r="P31" s="12" t="s">
        <v>37</v>
      </c>
    </row>
    <row r="32" customFormat="false" ht="15" hidden="false" customHeight="false" outlineLevel="0" collapsed="false">
      <c r="A32" s="11" t="s">
        <v>895</v>
      </c>
      <c r="B32" s="11" t="s">
        <v>905</v>
      </c>
      <c r="C32" s="12" t="s">
        <v>906</v>
      </c>
      <c r="D32" s="13" t="s">
        <v>757</v>
      </c>
      <c r="E32" s="14" t="n">
        <v>1</v>
      </c>
      <c r="F32" s="11" t="s">
        <v>907</v>
      </c>
      <c r="G32" s="16" t="n">
        <v>10000</v>
      </c>
      <c r="H32" s="14" t="n">
        <v>0</v>
      </c>
      <c r="I32" s="11" t="s">
        <v>794</v>
      </c>
      <c r="J32" s="14" t="n">
        <v>8</v>
      </c>
      <c r="K32" s="11" t="s">
        <v>833</v>
      </c>
      <c r="L32" s="15" t="s">
        <v>908</v>
      </c>
      <c r="M32" s="12" t="s">
        <v>37</v>
      </c>
      <c r="N32" s="13" t="s">
        <v>64</v>
      </c>
      <c r="O32" s="12" t="s">
        <v>37</v>
      </c>
      <c r="P32" s="12" t="s">
        <v>37</v>
      </c>
    </row>
    <row r="33" customFormat="false" ht="15" hidden="false" customHeight="false" outlineLevel="0" collapsed="false">
      <c r="A33" s="11" t="s">
        <v>895</v>
      </c>
      <c r="B33" s="11" t="s">
        <v>909</v>
      </c>
      <c r="C33" s="12" t="s">
        <v>910</v>
      </c>
      <c r="D33" s="13" t="s">
        <v>781</v>
      </c>
      <c r="E33" s="14" t="n">
        <v>2</v>
      </c>
      <c r="F33" s="11" t="s">
        <v>911</v>
      </c>
      <c r="G33" s="16" t="n">
        <v>35000</v>
      </c>
      <c r="H33" s="14" t="n">
        <v>3</v>
      </c>
      <c r="I33" s="11" t="s">
        <v>759</v>
      </c>
      <c r="J33" s="14" t="n">
        <v>15</v>
      </c>
      <c r="K33" s="11" t="s">
        <v>783</v>
      </c>
      <c r="L33" s="15" t="s">
        <v>912</v>
      </c>
      <c r="M33" s="11" t="s">
        <v>913</v>
      </c>
      <c r="N33" s="13" t="s">
        <v>64</v>
      </c>
      <c r="O33" s="12" t="s">
        <v>37</v>
      </c>
      <c r="P33" s="12" t="s">
        <v>37</v>
      </c>
    </row>
    <row r="34" customFormat="false" ht="26.85" hidden="false" customHeight="false" outlineLevel="0" collapsed="false">
      <c r="A34" s="11" t="s">
        <v>895</v>
      </c>
      <c r="B34" s="11" t="s">
        <v>914</v>
      </c>
      <c r="C34" s="12" t="s">
        <v>915</v>
      </c>
      <c r="D34" s="13" t="s">
        <v>769</v>
      </c>
      <c r="E34" s="14" t="n">
        <v>3</v>
      </c>
      <c r="F34" s="11" t="s">
        <v>916</v>
      </c>
      <c r="G34" s="16" t="n">
        <v>150000</v>
      </c>
      <c r="H34" s="14" t="n">
        <v>10</v>
      </c>
      <c r="I34" s="11" t="s">
        <v>759</v>
      </c>
      <c r="J34" s="14" t="n">
        <v>30</v>
      </c>
      <c r="K34" s="11" t="s">
        <v>771</v>
      </c>
      <c r="L34" s="15" t="s">
        <v>917</v>
      </c>
      <c r="M34" s="11" t="s">
        <v>918</v>
      </c>
      <c r="N34" s="13" t="s">
        <v>64</v>
      </c>
      <c r="O34" s="12" t="s">
        <v>37</v>
      </c>
      <c r="P34" s="12" t="s">
        <v>37</v>
      </c>
    </row>
    <row r="35" customFormat="false" ht="26.85" hidden="false" customHeight="false" outlineLevel="0" collapsed="false">
      <c r="A35" s="11" t="s">
        <v>895</v>
      </c>
      <c r="B35" s="11" t="s">
        <v>919</v>
      </c>
      <c r="C35" s="12" t="s">
        <v>920</v>
      </c>
      <c r="D35" s="13" t="s">
        <v>781</v>
      </c>
      <c r="E35" s="14" t="n">
        <v>2</v>
      </c>
      <c r="F35" s="11" t="s">
        <v>921</v>
      </c>
      <c r="G35" s="16" t="n">
        <v>35000</v>
      </c>
      <c r="H35" s="14" t="n">
        <v>3</v>
      </c>
      <c r="I35" s="11" t="s">
        <v>759</v>
      </c>
      <c r="J35" s="14" t="n">
        <v>15</v>
      </c>
      <c r="K35" s="11" t="s">
        <v>783</v>
      </c>
      <c r="L35" s="15" t="s">
        <v>922</v>
      </c>
      <c r="M35" s="12" t="s">
        <v>37</v>
      </c>
      <c r="N35" s="13" t="s">
        <v>64</v>
      </c>
      <c r="O35" s="12" t="s">
        <v>37</v>
      </c>
      <c r="P35" s="12" t="s">
        <v>37</v>
      </c>
    </row>
    <row r="36" customFormat="false" ht="15" hidden="false" customHeight="false" outlineLevel="0" collapsed="false">
      <c r="A36" s="11" t="s">
        <v>895</v>
      </c>
      <c r="B36" s="11" t="s">
        <v>923</v>
      </c>
      <c r="C36" s="12" t="s">
        <v>924</v>
      </c>
      <c r="D36" s="13" t="s">
        <v>781</v>
      </c>
      <c r="E36" s="14" t="n">
        <v>2</v>
      </c>
      <c r="F36" s="11" t="s">
        <v>925</v>
      </c>
      <c r="G36" s="16" t="n">
        <v>35000</v>
      </c>
      <c r="H36" s="14" t="n">
        <v>3</v>
      </c>
      <c r="I36" s="11" t="s">
        <v>759</v>
      </c>
      <c r="J36" s="14" t="n">
        <v>15</v>
      </c>
      <c r="K36" s="11" t="s">
        <v>783</v>
      </c>
      <c r="L36" s="15" t="s">
        <v>926</v>
      </c>
      <c r="M36" s="12" t="s">
        <v>37</v>
      </c>
      <c r="N36" s="13" t="s">
        <v>64</v>
      </c>
      <c r="O36" s="12" t="s">
        <v>37</v>
      </c>
      <c r="P36" s="12" t="s">
        <v>37</v>
      </c>
    </row>
    <row r="37" customFormat="false" ht="26.85" hidden="false" customHeight="false" outlineLevel="0" collapsed="false">
      <c r="A37" s="11" t="s">
        <v>895</v>
      </c>
      <c r="B37" s="11" t="s">
        <v>927</v>
      </c>
      <c r="C37" s="12" t="s">
        <v>928</v>
      </c>
      <c r="D37" s="13" t="s">
        <v>781</v>
      </c>
      <c r="E37" s="14" t="n">
        <v>2</v>
      </c>
      <c r="F37" s="11" t="s">
        <v>929</v>
      </c>
      <c r="G37" s="16" t="n">
        <v>35000</v>
      </c>
      <c r="H37" s="14" t="n">
        <v>3</v>
      </c>
      <c r="I37" s="11" t="s">
        <v>759</v>
      </c>
      <c r="J37" s="14" t="n">
        <v>15</v>
      </c>
      <c r="K37" s="11" t="s">
        <v>783</v>
      </c>
      <c r="L37" s="15" t="s">
        <v>930</v>
      </c>
      <c r="M37" s="11" t="s">
        <v>931</v>
      </c>
      <c r="N37" s="13" t="s">
        <v>64</v>
      </c>
      <c r="O37" s="12" t="s">
        <v>37</v>
      </c>
      <c r="P37" s="12" t="s">
        <v>37</v>
      </c>
    </row>
    <row r="38" customFormat="false" ht="15" hidden="false" customHeight="false" outlineLevel="0" collapsed="false">
      <c r="A38" s="11" t="s">
        <v>895</v>
      </c>
      <c r="B38" s="11" t="s">
        <v>932</v>
      </c>
      <c r="C38" s="12" t="s">
        <v>933</v>
      </c>
      <c r="D38" s="13" t="s">
        <v>781</v>
      </c>
      <c r="E38" s="14" t="n">
        <v>2</v>
      </c>
      <c r="F38" s="11" t="s">
        <v>934</v>
      </c>
      <c r="G38" s="16" t="n">
        <v>35000</v>
      </c>
      <c r="H38" s="14" t="n">
        <v>3</v>
      </c>
      <c r="I38" s="11" t="s">
        <v>794</v>
      </c>
      <c r="J38" s="14" t="n">
        <v>15</v>
      </c>
      <c r="K38" s="11" t="s">
        <v>795</v>
      </c>
      <c r="L38" s="15" t="s">
        <v>935</v>
      </c>
      <c r="M38" s="12" t="s">
        <v>37</v>
      </c>
      <c r="N38" s="13" t="s">
        <v>64</v>
      </c>
      <c r="O38" s="12" t="s">
        <v>37</v>
      </c>
      <c r="P38" s="12" t="s">
        <v>37</v>
      </c>
    </row>
    <row r="39" customFormat="false" ht="15" hidden="false" customHeight="false" outlineLevel="0" collapsed="false">
      <c r="A39" s="11" t="s">
        <v>895</v>
      </c>
      <c r="B39" s="11" t="s">
        <v>936</v>
      </c>
      <c r="C39" s="12" t="s">
        <v>937</v>
      </c>
      <c r="D39" s="13" t="s">
        <v>757</v>
      </c>
      <c r="E39" s="14" t="n">
        <v>1</v>
      </c>
      <c r="F39" s="11" t="s">
        <v>938</v>
      </c>
      <c r="G39" s="16" t="n">
        <v>10000</v>
      </c>
      <c r="H39" s="14" t="n">
        <v>0</v>
      </c>
      <c r="I39" s="11" t="s">
        <v>759</v>
      </c>
      <c r="J39" s="14" t="n">
        <v>8</v>
      </c>
      <c r="K39" s="11" t="s">
        <v>760</v>
      </c>
      <c r="L39" s="15" t="s">
        <v>939</v>
      </c>
      <c r="M39" s="12" t="s">
        <v>37</v>
      </c>
      <c r="N39" s="13" t="s">
        <v>72</v>
      </c>
      <c r="O39" s="11" t="s">
        <v>940</v>
      </c>
      <c r="P39" s="12" t="s">
        <v>37</v>
      </c>
    </row>
    <row r="40" customFormat="false" ht="26.85" hidden="false" customHeight="false" outlineLevel="0" collapsed="false">
      <c r="A40" s="11" t="s">
        <v>895</v>
      </c>
      <c r="B40" s="11" t="s">
        <v>941</v>
      </c>
      <c r="C40" s="12" t="s">
        <v>942</v>
      </c>
      <c r="D40" s="13" t="s">
        <v>757</v>
      </c>
      <c r="E40" s="14" t="n">
        <v>1</v>
      </c>
      <c r="F40" s="11" t="s">
        <v>943</v>
      </c>
      <c r="G40" s="16" t="n">
        <v>10000</v>
      </c>
      <c r="H40" s="14" t="n">
        <v>0</v>
      </c>
      <c r="I40" s="11" t="s">
        <v>759</v>
      </c>
      <c r="J40" s="14" t="n">
        <v>8</v>
      </c>
      <c r="K40" s="11" t="s">
        <v>760</v>
      </c>
      <c r="L40" s="15" t="s">
        <v>944</v>
      </c>
      <c r="M40" s="12" t="s">
        <v>37</v>
      </c>
      <c r="N40" s="13" t="s">
        <v>72</v>
      </c>
      <c r="O40" s="11" t="s">
        <v>945</v>
      </c>
      <c r="P40" s="11" t="s">
        <v>946</v>
      </c>
    </row>
    <row r="41" customFormat="false" ht="26.85" hidden="false" customHeight="false" outlineLevel="0" collapsed="false">
      <c r="A41" s="11" t="s">
        <v>895</v>
      </c>
      <c r="B41" s="11" t="s">
        <v>947</v>
      </c>
      <c r="C41" s="12" t="s">
        <v>948</v>
      </c>
      <c r="D41" s="13" t="s">
        <v>781</v>
      </c>
      <c r="E41" s="14" t="n">
        <v>2</v>
      </c>
      <c r="F41" s="11" t="s">
        <v>949</v>
      </c>
      <c r="G41" s="16" t="n">
        <v>35000</v>
      </c>
      <c r="H41" s="14" t="n">
        <v>3</v>
      </c>
      <c r="I41" s="11" t="s">
        <v>759</v>
      </c>
      <c r="J41" s="14" t="n">
        <v>15</v>
      </c>
      <c r="K41" s="11" t="s">
        <v>783</v>
      </c>
      <c r="L41" s="15" t="s">
        <v>950</v>
      </c>
      <c r="M41" s="11" t="s">
        <v>951</v>
      </c>
      <c r="N41" s="13" t="s">
        <v>72</v>
      </c>
      <c r="O41" s="11" t="s">
        <v>952</v>
      </c>
      <c r="P41" s="12" t="s">
        <v>37</v>
      </c>
    </row>
    <row r="42" customFormat="false" ht="15" hidden="false" customHeight="false" outlineLevel="0" collapsed="false">
      <c r="A42" s="11" t="s">
        <v>895</v>
      </c>
      <c r="B42" s="11" t="s">
        <v>953</v>
      </c>
      <c r="C42" s="12" t="s">
        <v>954</v>
      </c>
      <c r="D42" s="13" t="s">
        <v>757</v>
      </c>
      <c r="E42" s="14" t="n">
        <v>1</v>
      </c>
      <c r="F42" s="11" t="s">
        <v>955</v>
      </c>
      <c r="G42" s="16" t="n">
        <v>10000</v>
      </c>
      <c r="H42" s="14" t="n">
        <v>0</v>
      </c>
      <c r="I42" s="11" t="s">
        <v>759</v>
      </c>
      <c r="J42" s="14" t="n">
        <v>8</v>
      </c>
      <c r="K42" s="11" t="s">
        <v>760</v>
      </c>
      <c r="L42" s="15" t="s">
        <v>956</v>
      </c>
      <c r="M42" s="12" t="s">
        <v>37</v>
      </c>
      <c r="N42" s="13" t="s">
        <v>72</v>
      </c>
      <c r="O42" s="11" t="s">
        <v>957</v>
      </c>
      <c r="P42" s="12" t="s">
        <v>37</v>
      </c>
    </row>
  </sheetData>
  <autoFilter ref="A1:P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2026-10-21T08:17:43Z</dcterms:created>
  <dc:creator>openpyxl</dc:creator>
  <dc:description/>
  <dc:language>en-US</dc:language>
  <cp:lastModifiedBy/>
  <dcterms:modified xsi:type="dcterms:W3CDTF">2026-10-21T08:17:43Z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