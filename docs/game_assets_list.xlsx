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覽" sheetId="1" state="visible" r:id="rId3"/>
    <sheet name="建造物" sheetId="2" state="visible" r:id="rId4"/>
    <sheet name="治療項目" sheetId="3" state="visible" r:id="rId5"/>
    <sheet name="病患類型" sheetId="4" state="visible" r:id="rId6"/>
    <sheet name="員工職類" sheetId="5" state="visible" r:id="rId7"/>
    <sheet name="員工特質" sheetId="6" state="visible" r:id="rId8"/>
    <sheet name="專區組合" sheetId="7" state="visible" r:id="rId9"/>
    <sheet name="店面等級" sheetId="8" state="visible" r:id="rId10"/>
    <sheet name="天氣" sheetId="9" state="visible" r:id="rId11"/>
    <sheet name="社區活動" sheetId="10" state="visible" r:id="rId12"/>
    <sheet name="衛教看板" sheetId="11" state="visible" r:id="rId13"/>
    <sheet name="研發節點" sheetId="12" state="visible" r:id="rId14"/>
    <sheet name="成就" sheetId="13" state="visible" r:id="rId15"/>
    <sheet name="隨機事件" sheetId="14" state="visible" r:id="rId16"/>
    <sheet name="醫病溝通兩難" sheetId="15" state="visible" r:id="rId17"/>
  </sheets>
  <definedNames>
    <definedName function="false" hidden="true" localSheetId="5" name="_xlnm._FilterDatabase" vbProcedure="false">員工特質!$A$1:$D$11</definedName>
    <definedName function="false" hidden="true" localSheetId="4" name="_xlnm._FilterDatabase" vbProcedure="false">員工職類!$A$1:$G$6</definedName>
    <definedName function="false" hidden="true" localSheetId="8" name="_xlnm._FilterDatabase" vbProcedure="false">天氣!$A$1:$I$8</definedName>
    <definedName function="false" hidden="true" localSheetId="6" name="_xlnm._FilterDatabase" vbProcedure="false">專區組合!$A$1:$F$6</definedName>
    <definedName function="false" hidden="true" localSheetId="7" name="_xlnm._FilterDatabase" vbProcedure="false">店面等級!$A$1:$I$5</definedName>
    <definedName function="false" hidden="true" localSheetId="1" name="_xlnm._FilterDatabase" vbProcedure="false">建造物!$A$1:$L$30</definedName>
    <definedName function="false" hidden="true" localSheetId="12" name="_xlnm._FilterDatabase" vbProcedure="false">成就!$A$1:$I$42</definedName>
    <definedName function="false" hidden="true" localSheetId="2" name="_xlnm._FilterDatabase" vbProcedure="false">治療項目!$A$1:$M$18</definedName>
    <definedName function="false" hidden="true" localSheetId="3" name="_xlnm._FilterDatabase" vbProcedure="false">病患類型!$A$1:$L$5</definedName>
    <definedName function="false" hidden="true" localSheetId="11" name="_xlnm._FilterDatabase" vbProcedure="false">研發節點!$A$1:$H$27</definedName>
    <definedName function="false" hidden="true" localSheetId="9" name="_xlnm._FilterDatabase" vbProcedure="false">社區活動!$A$1:$G$8</definedName>
    <definedName function="false" hidden="true" localSheetId="10" name="_xlnm._FilterDatabase" vbProcedure="false">衛教看板!$A$1:$F$8</definedName>
    <definedName function="false" hidden="true" localSheetId="14" name="_xlnm._FilterDatabase" vbProcedure="false">醫病溝通兩難!$A$1:$E$13</definedName>
    <definedName function="false" hidden="true" localSheetId="13" name="_xlnm._FilterDatabase" vbProcedure="false">隨機事件!$A$1:$J$74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<sst xmlns="http://schemas.openxmlformats.org/spreadsheetml/2006/main" count="1739" uniqueCount="1192">
  <si>
    <t xml:space="preserve">復健科診所物語：遊戲內容清單</t>
  </si>
  <si>
    <r>
      <rPr>
        <i val="true"/>
        <sz val="10"/>
        <color rgb="FF555555"/>
        <rFont val="WenQuanYi Zen Hei"/>
        <family val="2"/>
      </rPr>
      <t xml:space="preserve">資料來源：專案 </t>
    </r>
    <r>
      <rPr>
        <i val="true"/>
        <sz val="10"/>
        <color rgb="FF555555"/>
        <rFont val="Arial"/>
        <family val="0"/>
        <charset val="1"/>
      </rPr>
      <t xml:space="preserve">js/data/*.js</t>
    </r>
    <r>
      <rPr>
        <i val="true"/>
        <sz val="10"/>
        <color rgb="FF555555"/>
        <rFont val="WenQuanYi Zen Hei"/>
        <family val="2"/>
      </rPr>
      <t xml:space="preserve">（自動匯出）。人物、場景為程式繪製的像素圖，沒有外部圖檔，清單見 </t>
    </r>
    <r>
      <rPr>
        <i val="true"/>
        <sz val="10"/>
        <color rgb="FF555555"/>
        <rFont val="Arial"/>
        <family val="0"/>
        <charset val="1"/>
      </rPr>
      <t xml:space="preserve">docs/ASSETS_LIST.md</t>
    </r>
    <r>
      <rPr>
        <i val="true"/>
        <sz val="10"/>
        <color rgb="FF555555"/>
        <rFont val="WenQuanYi Zen Hei"/>
        <family val="2"/>
      </rPr>
      <t xml:space="preserve">。</t>
    </r>
  </si>
  <si>
    <t xml:space="preserve">項目</t>
  </si>
  <si>
    <t xml:space="preserve">數量</t>
  </si>
  <si>
    <t xml:space="preserve">對應分頁</t>
  </si>
  <si>
    <r>
      <rPr>
        <sz val="10"/>
        <rFont val="WenQuanYi Zen Hei"/>
        <family val="2"/>
      </rPr>
      <t xml:space="preserve">可建造道具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機器（全部）</t>
    </r>
  </si>
  <si>
    <t xml:space="preserve">建造物</t>
  </si>
  <si>
    <t xml:space="preserve">　其中 環境</t>
  </si>
  <si>
    <t xml:space="preserve">　其中 設施</t>
  </si>
  <si>
    <t xml:space="preserve">　其中 特殊</t>
  </si>
  <si>
    <t xml:space="preserve">專區組合</t>
  </si>
  <si>
    <t xml:space="preserve">治療項目（全部）</t>
  </si>
  <si>
    <t xml:space="preserve">治療項目</t>
  </si>
  <si>
    <t xml:space="preserve">　其中 健保</t>
  </si>
  <si>
    <t xml:space="preserve">　其中 自費</t>
  </si>
  <si>
    <t xml:space="preserve">病患類型</t>
  </si>
  <si>
    <t xml:space="preserve">員工職類</t>
  </si>
  <si>
    <t xml:space="preserve">員工特質</t>
  </si>
  <si>
    <t xml:space="preserve">店面等級</t>
  </si>
  <si>
    <t xml:space="preserve">天氣</t>
  </si>
  <si>
    <t xml:space="preserve">社區活動</t>
  </si>
  <si>
    <t xml:space="preserve">衛教看板</t>
  </si>
  <si>
    <t xml:space="preserve">研發節點</t>
  </si>
  <si>
    <t xml:space="preserve">成就</t>
  </si>
  <si>
    <t xml:space="preserve">隨機事件（含調查擴充）</t>
  </si>
  <si>
    <t xml:space="preserve">隨機事件</t>
  </si>
  <si>
    <t xml:space="preserve">醫病溝通兩難</t>
  </si>
  <si>
    <t xml:space="preserve">像素人物（程式繪製）</t>
  </si>
  <si>
    <r>
      <rPr>
        <sz val="10"/>
        <rFont val="WenQuanYi Zen Hei"/>
        <family val="2"/>
      </rPr>
      <t xml:space="preserve">病患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種：晨間長輩團、肩頸僵硬上班族、運動傷害病患、早療兒童與家長</t>
    </r>
  </si>
  <si>
    <r>
      <rPr>
        <sz val="10"/>
        <rFont val="WenQuanYi Zen Hei"/>
        <family val="2"/>
      </rPr>
      <t xml:space="preserve">員工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種：復健科醫師、物理治療師、職能治療師、語言治療師、櫃檯護理師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行政</t>
    </r>
  </si>
  <si>
    <r>
      <rPr>
        <sz val="10"/>
        <rFont val="WenQuanYi Zen Hei"/>
        <family val="2"/>
      </rPr>
      <t xml:space="preserve">每種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個朝向；走路、坐下、工作姿勢；頭上狀態圖示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種（生氣、睡著、愛心、金錢、警告、星星、勾勾、問號、流汗、音符）</t>
    </r>
  </si>
  <si>
    <t xml:space="preserve">場景與環境（程式繪製）</t>
  </si>
  <si>
    <r>
      <rPr>
        <sz val="10"/>
        <rFont val="WenQuanYi Zen Hei"/>
        <family val="2"/>
      </rPr>
      <t xml:space="preserve">店面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級：巷弄小診所 </t>
    </r>
    <r>
      <rPr>
        <sz val="10"/>
        <rFont val="Arial"/>
        <family val="0"/>
        <charset val="1"/>
      </rPr>
      <t xml:space="preserve">12×10</t>
    </r>
    <r>
      <rPr>
        <sz val="10"/>
        <rFont val="WenQuanYi Zen Hei"/>
        <family val="2"/>
      </rPr>
      <t xml:space="preserve">、社區診所 </t>
    </r>
    <r>
      <rPr>
        <sz val="10"/>
        <rFont val="Arial"/>
        <family val="0"/>
        <charset val="1"/>
      </rPr>
      <t xml:space="preserve">14×12</t>
    </r>
    <r>
      <rPr>
        <sz val="10"/>
        <rFont val="WenQuanYi Zen Hei"/>
        <family val="2"/>
      </rPr>
      <t xml:space="preserve">、地區復健中心 </t>
    </r>
    <r>
      <rPr>
        <sz val="10"/>
        <rFont val="Arial"/>
        <family val="0"/>
        <charset val="1"/>
      </rPr>
      <t xml:space="preserve">16×14</t>
    </r>
    <r>
      <rPr>
        <sz val="10"/>
        <rFont val="WenQuanYi Zen Hei"/>
        <family val="2"/>
      </rPr>
      <t xml:space="preserve">、全台頂尖復健中心 </t>
    </r>
    <r>
      <rPr>
        <sz val="10"/>
        <rFont val="Arial"/>
        <family val="0"/>
        <charset val="1"/>
      </rPr>
      <t xml:space="preserve">20×16</t>
    </r>
    <r>
      <rPr>
        <sz val="10"/>
        <rFont val="WenQuanYi Zen Hei"/>
        <family val="2"/>
      </rPr>
      <t xml:space="preserve">（詳見「店面等級」）</t>
    </r>
  </si>
  <si>
    <t xml:space="preserve">地圖：街道（斑馬線、人行道）、診所地坪、外牆與門、招牌（顯示診所名稱與成就徽章）、草地</t>
  </si>
  <si>
    <r>
      <rPr>
        <sz val="10"/>
        <rFont val="WenQuanYi Zen Hei"/>
        <family val="2"/>
      </rPr>
      <t xml:space="preserve">背景裝飾：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款鄰近大樓、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款行道樹、路燈、行駛汽車 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種顏色（颱風停駛）</t>
    </r>
  </si>
  <si>
    <r>
      <rPr>
        <sz val="10"/>
        <rFont val="WenQuanYi Zen Hei"/>
        <family val="2"/>
      </rPr>
      <t xml:space="preserve">天氣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種的色調與粒子效果（雨、風、冷、熱）；日照時段色調；專區發光外框；成就解鎖的招牌閃光</t>
    </r>
  </si>
  <si>
    <r>
      <rPr>
        <sz val="10"/>
        <rFont val="Arial"/>
        <family val="0"/>
        <charset val="1"/>
      </rPr>
      <t xml:space="preserve">PWA </t>
    </r>
    <r>
      <rPr>
        <sz val="10"/>
        <rFont val="WenQuanYi Zen Hei"/>
        <family val="2"/>
      </rPr>
      <t xml:space="preserve">圖示：</t>
    </r>
    <r>
      <rPr>
        <sz val="10"/>
        <rFont val="Arial"/>
        <family val="0"/>
        <charset val="1"/>
      </rPr>
      <t xml:space="preserve">192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512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maskable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apple-touch</t>
    </r>
  </si>
  <si>
    <t xml:space="preserve">id</t>
  </si>
  <si>
    <t xml:space="preserve">名稱</t>
  </si>
  <si>
    <t xml:space="preserve">類別</t>
  </si>
  <si>
    <t xml:space="preserve">分頁</t>
  </si>
  <si>
    <r>
      <rPr>
        <b val="true"/>
        <sz val="11"/>
        <color rgb="FFFFFFFF"/>
        <rFont val="WenQuanYi Zen Hei"/>
        <family val="2"/>
      </rPr>
      <t xml:space="preserve">寬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</si>
  <si>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深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</si>
  <si>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價格 </t>
    </r>
    <r>
      <rPr>
        <b val="true"/>
        <sz val="11"/>
        <color rgb="FFFFFFFF"/>
        <rFont val="Arial"/>
        <family val="0"/>
        <charset val="1"/>
      </rPr>
      <t xml:space="preserve">NT$</t>
    </r>
  </si>
  <si>
    <r>
      <rPr>
        <b val="true"/>
        <sz val="11"/>
        <color rgb="FFFFFFFF"/>
        <rFont val="WenQuanYi Zen Hei"/>
        <family val="2"/>
      </rPr>
      <t xml:space="preserve">月維護 </t>
    </r>
    <r>
      <rPr>
        <b val="true"/>
        <sz val="11"/>
        <color rgb="FFFFFFFF"/>
        <rFont val="Arial"/>
        <family val="0"/>
        <charset val="1"/>
      </rPr>
      <t xml:space="preserve">NT$</t>
    </r>
  </si>
  <si>
    <t xml:space="preserve">解鎖研發</t>
  </si>
  <si>
    <t xml:space="preserve">擋路</t>
  </si>
  <si>
    <t xml:space="preserve">圖示</t>
  </si>
  <si>
    <t xml:space="preserve">說明</t>
  </si>
  <si>
    <t xml:space="preserve">floor_mat</t>
  </si>
  <si>
    <t xml:space="preserve">防滑地墊</t>
  </si>
  <si>
    <t xml:space="preserve">環境</t>
  </si>
  <si>
    <t xml:space="preserve">地板與通道</t>
  </si>
  <si>
    <t xml:space="preserve">開局可用</t>
  </si>
  <si>
    <t xml:space="preserve">否（可穿越）</t>
  </si>
  <si>
    <t xml:space="preserve">▩</t>
  </si>
  <si>
    <t xml:space="preserve">橡膠防滑地墊，長輩與濕滑天氣下最安心。</t>
  </si>
  <si>
    <t xml:space="preserve">floor_wood</t>
  </si>
  <si>
    <t xml:space="preserve">木紋地板</t>
  </si>
  <si>
    <t xml:space="preserve">▤</t>
  </si>
  <si>
    <t xml:space="preserve">溫潤木紋，好看但雨天容易滑。</t>
  </si>
  <si>
    <t xml:space="preserve">ramp</t>
  </si>
  <si>
    <t xml:space="preserve">無障礙坡道</t>
  </si>
  <si>
    <t xml:space="preserve">♿</t>
  </si>
  <si>
    <t xml:space="preserve">輪椅與助行器可通行，衛生局檢查必備。</t>
  </si>
  <si>
    <t xml:space="preserve">sofa</t>
  </si>
  <si>
    <t xml:space="preserve">候診沙發</t>
  </si>
  <si>
    <t xml:space="preserve">候診與景觀</t>
  </si>
  <si>
    <t xml:space="preserve">是</t>
  </si>
  <si>
    <t xml:space="preserve">🛋</t>
  </si>
  <si>
    <r>
      <rPr>
        <sz val="10"/>
        <rFont val="WenQuanYi Zen Hei"/>
        <family val="2"/>
      </rPr>
      <t xml:space="preserve">提供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個候診座位，候診時間也能舒服一點。</t>
    </r>
  </si>
  <si>
    <t xml:space="preserve">water</t>
  </si>
  <si>
    <t xml:space="preserve">飲水機</t>
  </si>
  <si>
    <t xml:space="preserve">🚰</t>
  </si>
  <si>
    <t xml:space="preserve">免費飲水，減少病患等候時的焦躁。</t>
  </si>
  <si>
    <t xml:space="preserve">tv</t>
  </si>
  <si>
    <t xml:space="preserve">電視牆</t>
  </si>
  <si>
    <t xml:space="preserve">📺</t>
  </si>
  <si>
    <t xml:space="preserve">播放衛教與綜藝節目，等候時間過得快。</t>
  </si>
  <si>
    <t xml:space="preserve">plant</t>
  </si>
  <si>
    <t xml:space="preserve">綠植</t>
  </si>
  <si>
    <t xml:space="preserve">🪴</t>
  </si>
  <si>
    <t xml:space="preserve">綠色植栽讓診所看起來清新舒適。</t>
  </si>
  <si>
    <t xml:space="preserve">sign</t>
  </si>
  <si>
    <t xml:space="preserve">誘導標示</t>
  </si>
  <si>
    <t xml:space="preserve">🪧</t>
  </si>
  <si>
    <t xml:space="preserve">清楚的樓層與科別指引，減少病患迷路與焦慮。</t>
  </si>
  <si>
    <t xml:space="preserve">reception</t>
  </si>
  <si>
    <t xml:space="preserve">掛號櫃檯</t>
  </si>
  <si>
    <t xml:space="preserve">設施</t>
  </si>
  <si>
    <t xml:space="preserve">基礎門診</t>
  </si>
  <si>
    <t xml:space="preserve">🛎</t>
  </si>
  <si>
    <t xml:space="preserve">掛號與批價櫃檯，所有病患都從這裡開始。</t>
  </si>
  <si>
    <t xml:space="preserve">exam_room</t>
  </si>
  <si>
    <t xml:space="preserve">看診室</t>
  </si>
  <si>
    <t xml:space="preserve">🩺</t>
  </si>
  <si>
    <r>
      <rPr>
        <sz val="10"/>
        <rFont val="WenQuanYi Zen Hei"/>
        <family val="2"/>
      </rPr>
      <t xml:space="preserve">醫師門診與 </t>
    </r>
    <r>
      <rPr>
        <sz val="10"/>
        <rFont val="Arial"/>
        <family val="0"/>
        <charset val="1"/>
      </rPr>
      <t xml:space="preserve">PRP </t>
    </r>
    <r>
      <rPr>
        <sz val="10"/>
        <rFont val="WenQuanYi Zen Hei"/>
        <family val="2"/>
      </rPr>
      <t xml:space="preserve">增生療法的場所。</t>
    </r>
  </si>
  <si>
    <t xml:space="preserve">us_room</t>
  </si>
  <si>
    <t xml:space="preserve">超音波檢查室</t>
  </si>
  <si>
    <t xml:space="preserve">rs_ultrasound</t>
  </si>
  <si>
    <t xml:space="preserve">📡</t>
  </si>
  <si>
    <t xml:space="preserve">超音波評估與引導，醫師可直接在診間判讀。</t>
  </si>
  <si>
    <t xml:space="preserve">rest_room</t>
  </si>
  <si>
    <t xml:space="preserve">休息室</t>
  </si>
  <si>
    <t xml:space="preserve">🛌</t>
  </si>
  <si>
    <t xml:space="preserve">員工與病患的休息空間，員工體力回復更快。</t>
  </si>
  <si>
    <t xml:space="preserve">heatbox</t>
  </si>
  <si>
    <t xml:space="preserve">熱敷箱</t>
  </si>
  <si>
    <t xml:space="preserve">物理治療區</t>
  </si>
  <si>
    <t xml:space="preserve">♨</t>
  </si>
  <si>
    <t xml:space="preserve">健保常見的熱敷治療，操作簡單、翻桌快。</t>
  </si>
  <si>
    <t xml:space="preserve">tens</t>
  </si>
  <si>
    <t xml:space="preserve">電療儀</t>
  </si>
  <si>
    <t xml:space="preserve">⚡</t>
  </si>
  <si>
    <r>
      <rPr>
        <sz val="10"/>
        <rFont val="WenQuanYi Zen Hei"/>
        <family val="2"/>
      </rPr>
      <t xml:space="preserve">干擾波／</t>
    </r>
    <r>
      <rPr>
        <sz val="10"/>
        <rFont val="Arial"/>
        <family val="0"/>
        <charset val="1"/>
      </rPr>
      <t xml:space="preserve">TENS </t>
    </r>
    <r>
      <rPr>
        <sz val="10"/>
        <rFont val="WenQuanYi Zen Hei"/>
        <family val="2"/>
      </rPr>
      <t xml:space="preserve">電療，黃金三寶之一。</t>
    </r>
  </si>
  <si>
    <t xml:space="preserve">traction</t>
  </si>
  <si>
    <t xml:space="preserve">頸腰椎牽引機</t>
  </si>
  <si>
    <t xml:space="preserve">🦴</t>
  </si>
  <si>
    <t xml:space="preserve">頸椎與腰椎牽引，黃金三寶中的長輩最愛。</t>
  </si>
  <si>
    <t xml:space="preserve">ir_lamp</t>
  </si>
  <si>
    <t xml:space="preserve">紅外線燈</t>
  </si>
  <si>
    <t xml:space="preserve">🌡</t>
  </si>
  <si>
    <t xml:space="preserve">紅外線照射，舒緩肌肉痠痛。</t>
  </si>
  <si>
    <t xml:space="preserve">bed</t>
  </si>
  <si>
    <t xml:space="preserve">治療床</t>
  </si>
  <si>
    <t xml:space="preserve">🛏</t>
  </si>
  <si>
    <t xml:space="preserve">貼紮、健保徒手與客製鞋墊共用的治療床。</t>
  </si>
  <si>
    <t xml:space="preserve">redcord</t>
  </si>
  <si>
    <t xml:space="preserve">懸吊系統</t>
  </si>
  <si>
    <t xml:space="preserve">運動與自費</t>
  </si>
  <si>
    <t xml:space="preserve">rs_redcord</t>
  </si>
  <si>
    <t xml:space="preserve">➰</t>
  </si>
  <si>
    <t xml:space="preserve">懸吊運動治療（自費），運動員與上班族的熱門項目。</t>
  </si>
  <si>
    <t xml:space="preserve">shockwave_room</t>
  </si>
  <si>
    <t xml:space="preserve">震波治療室</t>
  </si>
  <si>
    <t xml:space="preserve">rs_shockwave</t>
  </si>
  <si>
    <t xml:space="preserve">💥</t>
  </si>
  <si>
    <t xml:space="preserve">獨立的體外震波治療間，隱私與舒適兼顧。</t>
  </si>
  <si>
    <t xml:space="preserve">laser_room</t>
  </si>
  <si>
    <t xml:space="preserve">高能量雷射室</t>
  </si>
  <si>
    <t xml:space="preserve">rs_laser</t>
  </si>
  <si>
    <t xml:space="preserve">🔦</t>
  </si>
  <si>
    <t xml:space="preserve">高能量雷射治療（自費），高單價高投資。</t>
  </si>
  <si>
    <t xml:space="preserve">manual_room</t>
  </si>
  <si>
    <t xml:space="preserve">徒手治療獨立診間</t>
  </si>
  <si>
    <t xml:space="preserve">rs_manual</t>
  </si>
  <si>
    <t xml:space="preserve">🤲</t>
  </si>
  <si>
    <t xml:space="preserve">自費徒手治療專用診間，需要治療師親自到場。</t>
  </si>
  <si>
    <t xml:space="preserve">si_room</t>
  </si>
  <si>
    <t xml:space="preserve">感覺統合教室</t>
  </si>
  <si>
    <t xml:space="preserve">職能與早療</t>
  </si>
  <si>
    <t xml:space="preserve">rs_ot</t>
  </si>
  <si>
    <t xml:space="preserve">🧸</t>
  </si>
  <si>
    <t xml:space="preserve">感覺統合訓練教室（含平衡木），早療的核心空間。</t>
  </si>
  <si>
    <t xml:space="preserve">fine_table</t>
  </si>
  <si>
    <t xml:space="preserve">精細動作訓練桌</t>
  </si>
  <si>
    <t xml:space="preserve">✏</t>
  </si>
  <si>
    <t xml:space="preserve">串珠、夾取與寫字的精細動作訓練桌。</t>
  </si>
  <si>
    <t xml:space="preserve">speech_room</t>
  </si>
  <si>
    <t xml:space="preserve">語言治療室</t>
  </si>
  <si>
    <t xml:space="preserve">rs_st</t>
  </si>
  <si>
    <t xml:space="preserve">💬</t>
  </si>
  <si>
    <t xml:space="preserve">語言與吞嚥治療室，安靜的小空間。</t>
  </si>
  <si>
    <t xml:space="preserve">shockwave</t>
  </si>
  <si>
    <t xml:space="preserve">震波儀</t>
  </si>
  <si>
    <t xml:space="preserve">特殊</t>
  </si>
  <si>
    <t xml:space="preserve">🌊</t>
  </si>
  <si>
    <t xml:space="preserve">體外震波儀本體，需搭配治療室或獨立放置。</t>
  </si>
  <si>
    <t xml:space="preserve">coffee</t>
  </si>
  <si>
    <t xml:space="preserve">咖啡機</t>
  </si>
  <si>
    <t xml:space="preserve">☕</t>
  </si>
  <si>
    <t xml:space="preserve">現煮咖啡，提升候診與自費客群的滿意度。</t>
  </si>
  <si>
    <t xml:space="preserve">ball_pit</t>
  </si>
  <si>
    <t xml:space="preserve">感統球池</t>
  </si>
  <si>
    <t xml:space="preserve">🔵</t>
  </si>
  <si>
    <t xml:space="preserve">彩色球池，小朋友最愛，早療放電樂園的必備。</t>
  </si>
  <si>
    <t xml:space="preserve">soft_mat</t>
  </si>
  <si>
    <t xml:space="preserve">防撞軟墊</t>
  </si>
  <si>
    <t xml:space="preserve">🟪</t>
  </si>
  <si>
    <t xml:space="preserve">地面軟墊，可走可躺，降低幼兒跌撞風險。</t>
  </si>
  <si>
    <t xml:space="preserve">bookshelf</t>
  </si>
  <si>
    <t xml:space="preserve">兒童繪本架</t>
  </si>
  <si>
    <t xml:space="preserve">📚</t>
  </si>
  <si>
    <t xml:space="preserve">擺滿繪本的書架，候診小朋友有事做。</t>
  </si>
  <si>
    <t xml:space="preserve">類型</t>
  </si>
  <si>
    <r>
      <rPr>
        <b val="true"/>
        <sz val="11"/>
        <color rgb="FFFFFFFF"/>
        <rFont val="WenQuanYi Zen Hei"/>
        <family val="2"/>
      </rPr>
      <t xml:space="preserve">所需設備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任一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</si>
  <si>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所需人員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任一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</si>
  <si>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時長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遊戲分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</si>
  <si>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健保點數</t>
  </si>
  <si>
    <r>
      <rPr>
        <b val="true"/>
        <sz val="11"/>
        <color rgb="FFFFFFFF"/>
        <rFont val="WenQuanYi Zen Hei"/>
        <family val="2"/>
      </rPr>
      <t xml:space="preserve">自費價 </t>
    </r>
    <r>
      <rPr>
        <b val="true"/>
        <sz val="11"/>
        <color rgb="FFFFFFFF"/>
        <rFont val="Arial"/>
        <family val="0"/>
        <charset val="1"/>
      </rPr>
      <t xml:space="preserve">NT$</t>
    </r>
  </si>
  <si>
    <t xml:space="preserve">產出點數</t>
  </si>
  <si>
    <t xml:space="preserve">員工體力消耗</t>
  </si>
  <si>
    <t xml:space="preserve">治癒值</t>
  </si>
  <si>
    <t xml:space="preserve">exam</t>
  </si>
  <si>
    <t xml:space="preserve">門診看診</t>
  </si>
  <si>
    <t xml:space="preserve">健保</t>
  </si>
  <si>
    <t xml:space="preserve">復健科醫師</t>
  </si>
  <si>
    <r>
      <rPr>
        <sz val="10"/>
        <rFont val="WenQuanYi Zen Hei"/>
        <family val="2"/>
      </rPr>
      <t xml:space="preserve">醫術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服務</t>
    </r>
    <r>
      <rPr>
        <sz val="10"/>
        <rFont val="Arial"/>
        <family val="0"/>
        <charset val="1"/>
      </rPr>
      <t xml:space="preserve">1</t>
    </r>
  </si>
  <si>
    <t xml:space="preserve">醫師評估病況、開立復健處方的第一步。</t>
  </si>
  <si>
    <t xml:space="preserve">us</t>
  </si>
  <si>
    <t xml:space="preserve">超音波檢查</t>
  </si>
  <si>
    <r>
      <rPr>
        <sz val="10"/>
        <rFont val="WenQuanYi Zen Hei"/>
        <family val="2"/>
      </rPr>
      <t xml:space="preserve">醫術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儀器</t>
    </r>
    <r>
      <rPr>
        <sz val="10"/>
        <rFont val="Arial"/>
        <family val="0"/>
        <charset val="1"/>
      </rPr>
      <t xml:space="preserve">2</t>
    </r>
  </si>
  <si>
    <t xml:space="preserve">用超音波看清肌腱與軟組織，診斷更有把握。</t>
  </si>
  <si>
    <t xml:space="preserve">heat</t>
  </si>
  <si>
    <t xml:space="preserve">熱敷</t>
  </si>
  <si>
    <t xml:space="preserve">自助</t>
  </si>
  <si>
    <r>
      <rPr>
        <sz val="10"/>
        <rFont val="WenQuanYi Zen Hei"/>
        <family val="2"/>
      </rPr>
      <t xml:space="preserve">儀器</t>
    </r>
    <r>
      <rPr>
        <sz val="10"/>
        <rFont val="Arial"/>
        <family val="0"/>
        <charset val="1"/>
      </rPr>
      <t xml:space="preserve">1</t>
    </r>
  </si>
  <si>
    <t xml:space="preserve">溫熱敷紓解肌肉緊繃，長輩最愛的基本款。</t>
  </si>
  <si>
    <r>
      <rPr>
        <sz val="10"/>
        <rFont val="WenQuanYi Zen Hei"/>
        <family val="2"/>
      </rPr>
      <t xml:space="preserve">電療（干擾波</t>
    </r>
    <r>
      <rPr>
        <sz val="10"/>
        <rFont val="Arial"/>
        <family val="0"/>
        <charset val="1"/>
      </rPr>
      <t xml:space="preserve">/TENS</t>
    </r>
    <r>
      <rPr>
        <sz val="10"/>
        <rFont val="WenQuanYi Zen Hei"/>
        <family val="2"/>
      </rPr>
      <t xml:space="preserve">）</t>
    </r>
  </si>
  <si>
    <t xml:space="preserve">微電流刺激深層組織，自助式操作、不佔人力。</t>
  </si>
  <si>
    <t xml:space="preserve">頸腰椎牽引</t>
  </si>
  <si>
    <t xml:space="preserve">機器拉開椎間壓力，緩解頸腰痠痛。</t>
  </si>
  <si>
    <t xml:space="preserve">ir</t>
  </si>
  <si>
    <t xml:space="preserve">紅外線照射</t>
  </si>
  <si>
    <t xml:space="preserve">紅外線燈照射局部，讓血液循環變好一點。</t>
  </si>
  <si>
    <t xml:space="preserve">taping</t>
  </si>
  <si>
    <t xml:space="preserve">肌內效貼紮</t>
  </si>
  <si>
    <t xml:space="preserve">物理治療師</t>
  </si>
  <si>
    <r>
      <rPr>
        <sz val="10"/>
        <rFont val="WenQuanYi Zen Hei"/>
        <family val="2"/>
      </rPr>
      <t xml:space="preserve">醫術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服務</t>
    </r>
    <r>
      <rPr>
        <sz val="10"/>
        <rFont val="Arial"/>
        <family val="0"/>
        <charset val="1"/>
      </rPr>
      <t xml:space="preserve">1</t>
    </r>
  </si>
  <si>
    <t xml:space="preserve">治療師沿肌肉走向貼上彈性貼布，支撐又不妨礙活動。</t>
  </si>
  <si>
    <t xml:space="preserve">manual_nhi</t>
  </si>
  <si>
    <t xml:space="preserve">健保徒手治療</t>
  </si>
  <si>
    <t xml:space="preserve">治療師用雙手鬆解關節與軟組織，體力消耗大。</t>
  </si>
  <si>
    <t xml:space="preserve">懸吊運動治療</t>
  </si>
  <si>
    <t xml:space="preserve">自費</t>
  </si>
  <si>
    <r>
      <rPr>
        <sz val="10"/>
        <rFont val="WenQuanYi Zen Hei"/>
        <family val="2"/>
      </rPr>
      <t xml:space="preserve">醫術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儀器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服務</t>
    </r>
    <r>
      <rPr>
        <sz val="10"/>
        <rFont val="Arial"/>
        <family val="0"/>
        <charset val="1"/>
      </rPr>
      <t xml:space="preserve">1</t>
    </r>
  </si>
  <si>
    <t xml:space="preserve">繩索懸吊做全身性動作訓練，運動員與上班族都愛。</t>
  </si>
  <si>
    <t xml:space="preserve">體外震波</t>
  </si>
  <si>
    <r>
      <rPr>
        <sz val="10"/>
        <rFont val="Arial"/>
        <family val="0"/>
        <charset val="1"/>
      </rPr>
      <t xml:space="preserve">shockwave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shockwave_room</t>
    </r>
  </si>
  <si>
    <t xml:space="preserve">復健科醫師、物理治療師</t>
  </si>
  <si>
    <r>
      <rPr>
        <sz val="10"/>
        <rFont val="WenQuanYi Zen Hei"/>
        <family val="2"/>
      </rPr>
      <t xml:space="preserve">醫術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儀器</t>
    </r>
    <r>
      <rPr>
        <sz val="10"/>
        <rFont val="Arial"/>
        <family val="0"/>
        <charset val="1"/>
      </rPr>
      <t xml:space="preserve">3</t>
    </r>
  </si>
  <si>
    <t xml:space="preserve">高能量聲波打在痠痛的肌腱上，效果看得見。</t>
  </si>
  <si>
    <t xml:space="preserve">laser</t>
  </si>
  <si>
    <t xml:space="preserve">高能量雷射</t>
  </si>
  <si>
    <t xml:space="preserve">物理治療師、復健科醫師</t>
  </si>
  <si>
    <t xml:space="preserve">光能深入組織促進修復，療程短、價格高。</t>
  </si>
  <si>
    <t xml:space="preserve">manual_self</t>
  </si>
  <si>
    <t xml:space="preserve">自費徒手治療</t>
  </si>
  <si>
    <t xml:space="preserve">獨立診間裡一對一的徒手療程，時間充裕、手勁到位。</t>
  </si>
  <si>
    <t xml:space="preserve">prp</t>
  </si>
  <si>
    <r>
      <rPr>
        <sz val="10"/>
        <rFont val="Arial"/>
        <family val="0"/>
        <charset val="1"/>
      </rPr>
      <t xml:space="preserve">PRP </t>
    </r>
    <r>
      <rPr>
        <sz val="10"/>
        <rFont val="WenQuanYi Zen Hei"/>
        <family val="2"/>
      </rPr>
      <t xml:space="preserve">增生療法</t>
    </r>
  </si>
  <si>
    <r>
      <rPr>
        <sz val="10"/>
        <rFont val="WenQuanYi Zen Hei"/>
        <family val="2"/>
      </rPr>
      <t xml:space="preserve">醫術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服務</t>
    </r>
    <r>
      <rPr>
        <sz val="10"/>
        <rFont val="Arial"/>
        <family val="0"/>
        <charset val="1"/>
      </rPr>
      <t xml:space="preserve">1</t>
    </r>
  </si>
  <si>
    <t xml:space="preserve">rs_prp</t>
  </si>
  <si>
    <t xml:space="preserve">抽取自體血小板濃縮液注射，適合慢性肌腱病變。</t>
  </si>
  <si>
    <t xml:space="preserve">insole</t>
  </si>
  <si>
    <t xml:space="preserve">客製化鞋墊</t>
  </si>
  <si>
    <r>
      <rPr>
        <sz val="10"/>
        <rFont val="WenQuanYi Zen Hei"/>
        <family val="2"/>
      </rPr>
      <t xml:space="preserve">醫術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儀器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服務</t>
    </r>
    <r>
      <rPr>
        <sz val="10"/>
        <rFont val="Arial"/>
        <family val="0"/>
        <charset val="1"/>
      </rPr>
      <t xml:space="preserve">1</t>
    </r>
  </si>
  <si>
    <t xml:space="preserve">rs_insole</t>
  </si>
  <si>
    <t xml:space="preserve">步態掃描後量身製作鞋墊，從腳底改善膝腰負擔。</t>
  </si>
  <si>
    <t xml:space="preserve">si</t>
  </si>
  <si>
    <t xml:space="preserve">感覺統合訓練</t>
  </si>
  <si>
    <t xml:space="preserve">職能治療師</t>
  </si>
  <si>
    <r>
      <rPr>
        <sz val="10"/>
        <rFont val="WenQuanYi Zen Hei"/>
        <family val="2"/>
      </rPr>
      <t xml:space="preserve">醫術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服務</t>
    </r>
    <r>
      <rPr>
        <sz val="10"/>
        <rFont val="Arial"/>
        <family val="0"/>
        <charset val="1"/>
      </rPr>
      <t xml:space="preserve">2</t>
    </r>
  </si>
  <si>
    <t xml:space="preserve">球池、平衡木與滑板，陪孩子把身體感覺慢慢整合起來。</t>
  </si>
  <si>
    <t xml:space="preserve">fine</t>
  </si>
  <si>
    <t xml:space="preserve">精細動作訓練</t>
  </si>
  <si>
    <t xml:space="preserve">串珠、夾取與寫字前練習，把手指的小肌肉練起來。</t>
  </si>
  <si>
    <t xml:space="preserve">speech</t>
  </si>
  <si>
    <t xml:space="preserve">語言治療</t>
  </si>
  <si>
    <t xml:space="preserve">語言治療師</t>
  </si>
  <si>
    <t xml:space="preserve">發音、口語與溝通練習，陪孩子開口說話。</t>
  </si>
  <si>
    <t xml:space="preserve">簡介</t>
  </si>
  <si>
    <t xml:space="preserve">走路速度</t>
  </si>
  <si>
    <t xml:space="preserve">耐心</t>
  </si>
  <si>
    <t xml:space="preserve">需要坡道</t>
  </si>
  <si>
    <t xml:space="preserve">易滑倒倍率</t>
  </si>
  <si>
    <t xml:space="preserve">自費意願</t>
  </si>
  <si>
    <t xml:space="preserve">愛聊天</t>
  </si>
  <si>
    <t xml:space="preserve">痊癒所需</t>
  </si>
  <si>
    <t xml:space="preserve">口碑加成</t>
  </si>
  <si>
    <t xml:space="preserve">就診流程（可選方案）</t>
  </si>
  <si>
    <t xml:space="preserve">elder</t>
  </si>
  <si>
    <t xml:space="preserve">晨間長輩團</t>
  </si>
  <si>
    <t xml:space="preserve">住附近的長輩，早上結伴來做熱敷與電療，順便找治療師聊天。</t>
  </si>
  <si>
    <r>
      <rPr>
        <sz val="10"/>
        <rFont val="Arial"/>
        <family val="0"/>
        <charset val="1"/>
      </rPr>
      <t xml:space="preserve">exam→heat→tens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insole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manual_self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shockwave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heat→traction→tens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insole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manual_self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exam→traction→heat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insole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prp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shockwave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exam→ir→heat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insole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manual_self</t>
    </r>
    <r>
      <rPr>
        <sz val="10"/>
        <rFont val="WenQuanYi Zen Hei"/>
        <family val="2"/>
      </rPr>
      <t xml:space="preserve">）</t>
    </r>
  </si>
  <si>
    <t xml:space="preserve">office</t>
  </si>
  <si>
    <t xml:space="preserve">肩頸僵硬上班族</t>
  </si>
  <si>
    <t xml:space="preserve">午休或下班後來的上班族，肩頸痠痛、沒什麼耐心，最愛順便加購自費療程。</t>
  </si>
  <si>
    <t xml:space="preserve">否</t>
  </si>
  <si>
    <r>
      <rPr>
        <sz val="10"/>
        <rFont val="Arial"/>
        <family val="0"/>
        <charset val="1"/>
      </rPr>
      <t xml:space="preserve">exam→tens→heat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manual_self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shockwave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laser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exam→taping→tens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shockwave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laser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prp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exam→traction→heat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shockwave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manual_self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insole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us→tens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laser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shockwave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prp</t>
    </r>
    <r>
      <rPr>
        <sz val="10"/>
        <rFont val="WenQuanYi Zen Hei"/>
        <family val="2"/>
      </rPr>
      <t xml:space="preserve">）</t>
    </r>
  </si>
  <si>
    <t xml:space="preserve">sports</t>
  </si>
  <si>
    <t xml:space="preserve">運動傷害病患</t>
  </si>
  <si>
    <t xml:space="preserve">下班後的跑者與球友，傷勢急、目標明確，治好了會替診所帶來好口碑。</t>
  </si>
  <si>
    <r>
      <rPr>
        <sz val="10"/>
        <rFont val="Arial"/>
        <family val="0"/>
        <charset val="1"/>
      </rPr>
      <t xml:space="preserve">exam→taping→manual_nhi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redcord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laser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insole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exam→taping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redcord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shockwave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laser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exam→manual_nhi→tens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shockwave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redcord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prp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exam→shockwave→redcord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laser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manual_self</t>
    </r>
    <r>
      <rPr>
        <sz val="10"/>
        <rFont val="WenQuanYi Zen Hei"/>
        <family val="2"/>
      </rPr>
      <t xml:space="preserve">）</t>
    </r>
  </si>
  <si>
    <t xml:space="preserve">kid</t>
  </si>
  <si>
    <t xml:space="preserve">早療兒童與家長</t>
  </si>
  <si>
    <t xml:space="preserve">放學後由家長帶來的孩子，需要職能、語言與感統訓練，家長很重視服務品質。</t>
  </si>
  <si>
    <r>
      <rPr>
        <sz val="10"/>
        <rFont val="Arial"/>
        <family val="0"/>
        <charset val="1"/>
      </rPr>
      <t xml:space="preserve">exam→si→speech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exam→fine→speech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exam→si→fine</t>
    </r>
    <r>
      <rPr>
        <sz val="10"/>
        <rFont val="WenQuanYi Zen Hei"/>
        <family val="2"/>
      </rPr>
      <t xml:space="preserve">（可加購：</t>
    </r>
    <r>
      <rPr>
        <sz val="10"/>
        <rFont val="Arial"/>
        <family val="0"/>
        <charset val="1"/>
      </rPr>
      <t xml:space="preserve">insole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exam→speech→fine</t>
    </r>
  </si>
  <si>
    <r>
      <rPr>
        <b val="true"/>
        <sz val="11"/>
        <color rgb="FFFFFFFF"/>
        <rFont val="WenQuanYi Zen Hei"/>
        <family val="2"/>
      </rPr>
      <t xml:space="preserve">月薪基準 </t>
    </r>
    <r>
      <rPr>
        <b val="true"/>
        <sz val="11"/>
        <color rgb="FFFFFFFF"/>
        <rFont val="Arial"/>
        <family val="0"/>
        <charset val="1"/>
      </rPr>
      <t xml:space="preserve">NT$</t>
    </r>
  </si>
  <si>
    <r>
      <rPr>
        <b val="true"/>
        <sz val="11"/>
        <color rgb="FFFFFFFF"/>
        <rFont val="WenQuanYi Zen Hei"/>
        <family val="2"/>
      </rPr>
      <t xml:space="preserve">聘僱費 </t>
    </r>
    <r>
      <rPr>
        <b val="true"/>
        <sz val="11"/>
        <color rgb="FFFFFFFF"/>
        <rFont val="Arial"/>
        <family val="0"/>
        <charset val="1"/>
      </rPr>
      <t xml:space="preserve">NT$</t>
    </r>
  </si>
  <si>
    <t xml:space="preserve">技術範圍</t>
  </si>
  <si>
    <t xml:space="preserve">體力上限</t>
  </si>
  <si>
    <t xml:space="preserve">doctor</t>
  </si>
  <si>
    <t xml:space="preserve">3–8</t>
  </si>
  <si>
    <t xml:space="preserve">負責看診、開處方，也是超音波與高階自費療程的主力。</t>
  </si>
  <si>
    <t xml:space="preserve">pt</t>
  </si>
  <si>
    <t xml:space="preserve">負責徒手、貼紮、懸吊與震波等療程，是診所的體力核心。</t>
  </si>
  <si>
    <t xml:space="preserve">ot</t>
  </si>
  <si>
    <t xml:space="preserve">負責感覺統合與精細動作訓練，兒童早療必備。</t>
  </si>
  <si>
    <t xml:space="preserve">st</t>
  </si>
  <si>
    <t xml:space="preserve">負責語言與吞嚥相關治療，兒童與術後患者都會用到。</t>
  </si>
  <si>
    <t xml:space="preserve">nurse</t>
  </si>
  <si>
    <r>
      <rPr>
        <sz val="10"/>
        <rFont val="WenQuanYi Zen Hei"/>
        <family val="2"/>
      </rPr>
      <t xml:space="preserve">櫃檯護理師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行政</t>
    </r>
  </si>
  <si>
    <t xml:space="preserve">負責掛號、報到與櫃檯行政，讓患者少等一點。</t>
  </si>
  <si>
    <t xml:space="preserve">數值影響</t>
  </si>
  <si>
    <t xml:space="preserve">kind</t>
  </si>
  <si>
    <t xml:space="preserve">親切</t>
  </si>
  <si>
    <t xml:space="preserve">病人都覺得被溫柔對待，魅力提升。</t>
  </si>
  <si>
    <t xml:space="preserve">{"charm":2}</t>
  </si>
  <si>
    <t xml:space="preserve">careful</t>
  </si>
  <si>
    <t xml:space="preserve">細心</t>
  </si>
  <si>
    <t xml:space="preserve">動作一絲不苟，技術穩定提升。</t>
  </si>
  <si>
    <t xml:space="preserve">{"skill":1}</t>
  </si>
  <si>
    <t xml:space="preserve">strong</t>
  </si>
  <si>
    <t xml:space="preserve">體力好</t>
  </si>
  <si>
    <t xml:space="preserve">連續上班也不太喊累。</t>
  </si>
  <si>
    <t xml:space="preserve">{"staminaMax":20}</t>
  </si>
  <si>
    <t xml:space="preserve">scholar</t>
  </si>
  <si>
    <t xml:space="preserve">研究魂</t>
  </si>
  <si>
    <t xml:space="preserve">愛看論文、手法精進，但比較耗神。</t>
  </si>
  <si>
    <t xml:space="preserve">{"skill":2,"staminaMax":-10}</t>
  </si>
  <si>
    <t xml:space="preserve">talker</t>
  </si>
  <si>
    <t xml:space="preserve">話匣子</t>
  </si>
  <si>
    <t xml:space="preserve">聊天很有梗，病人容易放鬆，體力略差。</t>
  </si>
  <si>
    <t xml:space="preserve">{"charm":2,"staminaMax":-10}</t>
  </si>
  <si>
    <t xml:space="preserve">rookie</t>
  </si>
  <si>
    <t xml:space="preserve">新手上路</t>
  </si>
  <si>
    <t xml:space="preserve">剛出社會，技術還在磨合，但很有親和力。</t>
  </si>
  <si>
    <t xml:space="preserve">{"skill":-1,"charm":1}</t>
  </si>
  <si>
    <t xml:space="preserve">veteran</t>
  </si>
  <si>
    <t xml:space="preserve">老江湖</t>
  </si>
  <si>
    <t xml:space="preserve">見多識廣，手感老練，耐操。</t>
  </si>
  <si>
    <t xml:space="preserve">{"skill":1,"staminaMax":10}</t>
  </si>
  <si>
    <t xml:space="preserve">warm</t>
  </si>
  <si>
    <t xml:space="preserve">熱心助人</t>
  </si>
  <si>
    <t xml:space="preserve">願意多花時間，大家都喜歡。</t>
  </si>
  <si>
    <t xml:space="preserve">{"charm":1,"staminaMax":10}</t>
  </si>
  <si>
    <t xml:space="preserve">humor</t>
  </si>
  <si>
    <t xml:space="preserve">幽默風趣</t>
  </si>
  <si>
    <t xml:space="preserve">一句笑話就能化解等候的不耐煩。</t>
  </si>
  <si>
    <t xml:space="preserve">{"charm":3}</t>
  </si>
  <si>
    <t xml:space="preserve">backache</t>
  </si>
  <si>
    <t xml:space="preserve">腰痠背痛</t>
  </si>
  <si>
    <t xml:space="preserve">自己也有職業病，體力打折扣。</t>
  </si>
  <si>
    <t xml:space="preserve">{"staminaMax":-15}</t>
  </si>
  <si>
    <t xml:space="preserve">需要相鄰的設備</t>
  </si>
  <si>
    <r>
      <rPr>
        <b val="true"/>
        <sz val="11"/>
        <color rgb="FFFFFFFF"/>
        <rFont val="WenQuanYi Zen Hei"/>
        <family val="2"/>
      </rPr>
      <t xml:space="preserve">效果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加法修正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</si>
  <si>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golden3</t>
  </si>
  <si>
    <t xml:space="preserve">黃金三寶區</t>
  </si>
  <si>
    <t xml:space="preserve">🥇</t>
  </si>
  <si>
    <t xml:space="preserve">heatbox + tens + traction</t>
  </si>
  <si>
    <t xml:space="preserve">{"nhiTurnover":0.2,"elderSat":8}</t>
  </si>
  <si>
    <r>
      <rPr>
        <sz val="10"/>
        <rFont val="WenQuanYi Zen Hei"/>
        <family val="2"/>
      </rPr>
      <t xml:space="preserve">熱敷、電療、牽引相鄰成一區，健保翻桌率 </t>
    </r>
    <r>
      <rPr>
        <sz val="10"/>
        <rFont val="Arial"/>
        <family val="0"/>
        <charset val="1"/>
      </rPr>
      <t xml:space="preserve">+20%</t>
    </r>
    <r>
      <rPr>
        <sz val="10"/>
        <rFont val="WenQuanYi Zen Hei"/>
        <family val="2"/>
      </rPr>
      <t xml:space="preserve">，長輩滿意度 </t>
    </r>
    <r>
      <rPr>
        <sz val="10"/>
        <rFont val="Arial"/>
        <family val="0"/>
        <charset val="1"/>
      </rPr>
      <t xml:space="preserve">+8</t>
    </r>
    <r>
      <rPr>
        <sz val="10"/>
        <rFont val="WenQuanYi Zen Hei"/>
        <family val="2"/>
      </rPr>
      <t xml:space="preserve">。</t>
    </r>
  </si>
  <si>
    <t xml:space="preserve">premium</t>
  </si>
  <si>
    <t xml:space="preserve">高階自費專區</t>
  </si>
  <si>
    <t xml:space="preserve">💎</t>
  </si>
  <si>
    <t xml:space="preserve">manual_room + shockwave + coffee</t>
  </si>
  <si>
    <t xml:space="preserve">{"selfPayConv":0.15,"selfPayPrice":0.1}</t>
  </si>
  <si>
    <r>
      <rPr>
        <sz val="10"/>
        <rFont val="WenQuanYi Zen Hei"/>
        <family val="2"/>
      </rPr>
      <t xml:space="preserve">徒手診間、震波儀與咖啡機相鄰，自費轉換率 </t>
    </r>
    <r>
      <rPr>
        <sz val="10"/>
        <rFont val="Arial"/>
        <family val="0"/>
        <charset val="1"/>
      </rPr>
      <t xml:space="preserve">+15%</t>
    </r>
    <r>
      <rPr>
        <sz val="10"/>
        <rFont val="WenQuanYi Zen Hei"/>
        <family val="2"/>
      </rPr>
      <t xml:space="preserve">，自費單價 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。</t>
    </r>
  </si>
  <si>
    <t xml:space="preserve">kidpark</t>
  </si>
  <si>
    <t xml:space="preserve">早療放電樂園</t>
  </si>
  <si>
    <t xml:space="preserve">ball_pit + soft_mat + bookshelf</t>
  </si>
  <si>
    <t xml:space="preserve">{"researchGain":0.25}</t>
  </si>
  <si>
    <r>
      <rPr>
        <sz val="10"/>
        <rFont val="WenQuanYi Zen Hei"/>
        <family val="2"/>
      </rPr>
      <t xml:space="preserve">球池、防撞軟墊與繪本架相鄰，研發點數獲得 </t>
    </r>
    <r>
      <rPr>
        <sz val="10"/>
        <rFont val="Arial"/>
        <family val="0"/>
        <charset val="1"/>
      </rPr>
      <t xml:space="preserve">×1.25</t>
    </r>
    <r>
      <rPr>
        <sz val="10"/>
        <rFont val="WenQuanYi Zen Hei"/>
        <family val="2"/>
      </rPr>
      <t xml:space="preserve">。</t>
    </r>
  </si>
  <si>
    <t xml:space="preserve">waitRoom</t>
  </si>
  <si>
    <t xml:space="preserve">候診舒適區</t>
  </si>
  <si>
    <t xml:space="preserve">🪑</t>
  </si>
  <si>
    <t xml:space="preserve">sofa + water + plant + tv</t>
  </si>
  <si>
    <t xml:space="preserve">{"patience":0.1,"elderSat":2}</t>
  </si>
  <si>
    <r>
      <rPr>
        <sz val="10"/>
        <rFont val="WenQuanYi Zen Hei"/>
        <family val="2"/>
      </rPr>
      <t xml:space="preserve">沙發、飲水機、綠植與電視牆相鄰，病患耐心 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，長輩滿意度 </t>
    </r>
    <r>
      <rPr>
        <sz val="10"/>
        <rFont val="Arial"/>
        <family val="0"/>
        <charset val="1"/>
      </rPr>
      <t xml:space="preserve">+2</t>
    </r>
    <r>
      <rPr>
        <sz val="10"/>
        <rFont val="WenQuanYi Zen Hei"/>
        <family val="2"/>
      </rPr>
      <t xml:space="preserve">。</t>
    </r>
  </si>
  <si>
    <t xml:space="preserve">restStation</t>
  </si>
  <si>
    <t xml:space="preserve">員工喘息站</t>
  </si>
  <si>
    <t xml:space="preserve">rest_room + water</t>
  </si>
  <si>
    <t xml:space="preserve">{"staffStamina":-0.1}</t>
  </si>
  <si>
    <r>
      <rPr>
        <sz val="10"/>
        <rFont val="WenQuanYi Zen Hei"/>
        <family val="2"/>
      </rPr>
      <t xml:space="preserve">休息室旁設飲水機，員工體力消耗降低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。</t>
    </r>
  </si>
  <si>
    <t xml:space="preserve">等級</t>
  </si>
  <si>
    <t xml:space="preserve">可建造大小</t>
  </si>
  <si>
    <r>
      <rPr>
        <b val="true"/>
        <sz val="11"/>
        <color rgb="FFFFFFFF"/>
        <rFont val="WenQuanYi Zen Hei"/>
        <family val="2"/>
      </rPr>
      <t xml:space="preserve">月租 </t>
    </r>
    <r>
      <rPr>
        <b val="true"/>
        <sz val="11"/>
        <color rgb="FFFFFFFF"/>
        <rFont val="Arial"/>
        <family val="0"/>
        <charset val="1"/>
      </rPr>
      <t xml:space="preserve">NT$</t>
    </r>
  </si>
  <si>
    <t xml:space="preserve">月健保點數上限</t>
  </si>
  <si>
    <t xml:space="preserve">每週病患上限</t>
  </si>
  <si>
    <t xml:space="preserve">員工上限</t>
  </si>
  <si>
    <r>
      <rPr>
        <b val="true"/>
        <sz val="11"/>
        <color rgb="FFFFFFFF"/>
        <rFont val="WenQuanYi Zen Hei"/>
        <family val="2"/>
      </rPr>
      <t xml:space="preserve">擴建費 </t>
    </r>
    <r>
      <rPr>
        <b val="true"/>
        <sz val="11"/>
        <color rgb="FFFFFFFF"/>
        <rFont val="Arial"/>
        <family val="0"/>
        <charset val="1"/>
      </rPr>
      <t xml:space="preserve">NT$</t>
    </r>
  </si>
  <si>
    <t xml:space="preserve">擴建條件</t>
  </si>
  <si>
    <t xml:space="preserve">巷弄小診所</t>
  </si>
  <si>
    <t xml:space="preserve">12×10</t>
  </si>
  <si>
    <t xml:space="preserve">起始診所，無需條件</t>
  </si>
  <si>
    <t xml:space="preserve">社區診所</t>
  </si>
  <si>
    <t xml:space="preserve">14×12</t>
  </si>
  <si>
    <r>
      <rPr>
        <sz val="10"/>
        <rFont val="WenQuanYi Zen Hei"/>
        <family val="2"/>
      </rPr>
      <t xml:space="preserve">聲譽 ≥ 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、員工 ≥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、平均滿意度 ≥ </t>
    </r>
    <r>
      <rPr>
        <sz val="10"/>
        <rFont val="Arial"/>
        <family val="0"/>
        <charset val="1"/>
      </rPr>
      <t xml:space="preserve">55</t>
    </r>
    <r>
      <rPr>
        <sz val="10"/>
        <rFont val="WenQuanYi Zen Hei"/>
        <family val="2"/>
      </rPr>
      <t xml:space="preserve">、有無障礙坡道、候診座位 ≥ </t>
    </r>
    <r>
      <rPr>
        <sz val="10"/>
        <rFont val="Arial"/>
        <family val="0"/>
        <charset val="1"/>
      </rPr>
      <t xml:space="preserve">2</t>
    </r>
  </si>
  <si>
    <t xml:space="preserve">地區復健中心</t>
  </si>
  <si>
    <t xml:space="preserve">16×14</t>
  </si>
  <si>
    <r>
      <rPr>
        <sz val="10"/>
        <rFont val="WenQuanYi Zen Hei"/>
        <family val="2"/>
      </rPr>
      <t xml:space="preserve">聲譽 ≥ </t>
    </r>
    <r>
      <rPr>
        <sz val="10"/>
        <rFont val="Arial"/>
        <family val="0"/>
        <charset val="1"/>
      </rPr>
      <t xml:space="preserve">150</t>
    </r>
    <r>
      <rPr>
        <sz val="10"/>
        <rFont val="WenQuanYi Zen Hei"/>
        <family val="2"/>
      </rPr>
      <t xml:space="preserve">、第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年起、員工 ≥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、平均滿意度 ≥ </t>
    </r>
    <r>
      <rPr>
        <sz val="10"/>
        <rFont val="Arial"/>
        <family val="0"/>
        <charset val="1"/>
      </rPr>
      <t xml:space="preserve">65</t>
    </r>
    <r>
      <rPr>
        <sz val="10"/>
        <rFont val="WenQuanYi Zen Hei"/>
        <family val="2"/>
      </rPr>
      <t xml:space="preserve">、有無障礙坡道、候診座位 ≥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、完成研發「擴建規劃」（服務點數）</t>
    </r>
  </si>
  <si>
    <t xml:space="preserve">全台頂尖復健中心</t>
  </si>
  <si>
    <t xml:space="preserve">20×16</t>
  </si>
  <si>
    <r>
      <rPr>
        <sz val="10"/>
        <rFont val="WenQuanYi Zen Hei"/>
        <family val="2"/>
      </rPr>
      <t xml:space="preserve">聲譽 ≥ </t>
    </r>
    <r>
      <rPr>
        <sz val="10"/>
        <rFont val="Arial"/>
        <family val="0"/>
        <charset val="1"/>
      </rPr>
      <t xml:space="preserve">320</t>
    </r>
    <r>
      <rPr>
        <sz val="10"/>
        <rFont val="WenQuanYi Zen Hei"/>
        <family val="2"/>
      </rPr>
      <t xml:space="preserve">、第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年起、員工 ≥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、平均滿意度 ≥ </t>
    </r>
    <r>
      <rPr>
        <sz val="10"/>
        <rFont val="Arial"/>
        <family val="0"/>
        <charset val="1"/>
      </rPr>
      <t xml:space="preserve">72</t>
    </r>
    <r>
      <rPr>
        <sz val="10"/>
        <rFont val="WenQuanYi Zen Hei"/>
        <family val="2"/>
      </rPr>
      <t xml:space="preserve">、有無障礙坡道、候診座位 ≥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、完成研發「擴建規劃」（服務點數）</t>
    </r>
  </si>
  <si>
    <t xml:space="preserve">出現月份</t>
  </si>
  <si>
    <t xml:space="preserve">權重</t>
  </si>
  <si>
    <t xml:space="preserve">氣溫</t>
  </si>
  <si>
    <t xml:space="preserve">病患類型加成</t>
  </si>
  <si>
    <t xml:space="preserve">滑倒倍率</t>
  </si>
  <si>
    <t xml:space="preserve">修正值</t>
  </si>
  <si>
    <t xml:space="preserve">新聞文案</t>
  </si>
  <si>
    <t xml:space="preserve">sunny</t>
  </si>
  <si>
    <t xml:space="preserve">☀️晴朗好天氣</t>
  </si>
  <si>
    <t xml:space="preserve">[3,4,5,6,7,8,9,10,11]</t>
  </si>
  <si>
    <t xml:space="preserve">24–33°C</t>
  </si>
  <si>
    <t xml:space="preserve">{"sports":1.3,"elder":1.05}</t>
  </si>
  <si>
    <t xml:space="preserve">陽光超猛，運動員都出來跑步了，膝蓋也跟著出門。</t>
  </si>
  <si>
    <t xml:space="preserve">cloudy</t>
  </si>
  <si>
    <t xml:space="preserve">☁️陰天</t>
  </si>
  <si>
    <t xml:space="preserve">[1,2,3,4,5,6,7,8,9,10,11,12]</t>
  </si>
  <si>
    <t xml:space="preserve">20–28°C</t>
  </si>
  <si>
    <t xml:space="preserve">{"office":1.1}</t>
  </si>
  <si>
    <t xml:space="preserve">陰陰的，不晴不雨，上班族的肩頸先陰了。</t>
  </si>
  <si>
    <t xml:space="preserve">rain</t>
  </si>
  <si>
    <t xml:space="preserve">🌦️午後陣雨</t>
  </si>
  <si>
    <t xml:space="preserve">[3,4,5,9,10,11]</t>
  </si>
  <si>
    <t xml:space="preserve">21–28°C</t>
  </si>
  <si>
    <t xml:space="preserve">{"elder":1.2}</t>
  </si>
  <si>
    <t xml:space="preserve">午後一陣雨，地板濕濕的，走路要看路喔。</t>
  </si>
  <si>
    <t xml:space="preserve">plumrain</t>
  </si>
  <si>
    <t xml:space="preserve">🌧️梅雨季</t>
  </si>
  <si>
    <t xml:space="preserve">[5,6]</t>
  </si>
  <si>
    <t xml:space="preserve">{"elder":1.25,"office":0.9}</t>
  </si>
  <si>
    <t xml:space="preserve">{"staffStamina":0.1}</t>
  </si>
  <si>
    <t xml:space="preserve">梅雨下不停，衣服半乾不溼，關節也是。同仁說身體像泡過水。</t>
  </si>
  <si>
    <t xml:space="preserve">cold</t>
  </si>
  <si>
    <t xml:space="preserve">🥶寒流來襲</t>
  </si>
  <si>
    <t xml:space="preserve">[12,1,2]</t>
  </si>
  <si>
    <t xml:space="preserve">8–16°C</t>
  </si>
  <si>
    <t xml:space="preserve">{"elder":1.6,"office":0.95}</t>
  </si>
  <si>
    <t xml:space="preserve">寒流來了！阿伯阿嬤的膝蓋和肩膀準時報到。</t>
  </si>
  <si>
    <t xml:space="preserve">hot</t>
  </si>
  <si>
    <t xml:space="preserve">🥵炎夏高溫</t>
  </si>
  <si>
    <t xml:space="preserve">[7,8]</t>
  </si>
  <si>
    <t xml:space="preserve">31–38°C</t>
  </si>
  <si>
    <t xml:space="preserve">{"sports":0.8,"kid":0.7,"elder":0.9}</t>
  </si>
  <si>
    <t xml:space="preserve">{"staffStamina":0.2,"spawnMult":-0.1}</t>
  </si>
  <si>
    <t xml:space="preserve">熱到柏油路會軟，大家都躲在冷氣房裡，運動的人也少了。</t>
  </si>
  <si>
    <t xml:space="preserve">typhoon</t>
  </si>
  <si>
    <t xml:space="preserve">🌀颱風警報</t>
  </si>
  <si>
    <t xml:space="preserve">[7,8,9,10]</t>
  </si>
  <si>
    <t xml:space="preserve">24–30°C</t>
  </si>
  <si>
    <t xml:space="preserve">{"spawnMult":-0.6}</t>
  </si>
  <si>
    <t xml:space="preserve">颱風天停班停課，病人都待在家，診所冷冷清清，只剩風在唱歌。</t>
  </si>
  <si>
    <r>
      <rPr>
        <b val="true"/>
        <sz val="11"/>
        <color rgb="FFFFFFFF"/>
        <rFont val="WenQuanYi Zen Hei"/>
        <family val="2"/>
      </rPr>
      <t xml:space="preserve">費用 </t>
    </r>
    <r>
      <rPr>
        <b val="true"/>
        <sz val="11"/>
        <color rgb="FFFFFFFF"/>
        <rFont val="Arial"/>
        <family val="0"/>
        <charset val="1"/>
      </rPr>
      <t xml:space="preserve">NT$</t>
    </r>
  </si>
  <si>
    <r>
      <rPr>
        <b val="true"/>
        <sz val="11"/>
        <color rgb="FFFFFFFF"/>
        <rFont val="WenQuanYi Zen Hei"/>
        <family val="2"/>
      </rPr>
      <t xml:space="preserve">持續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週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</si>
  <si>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WenQuanYi Zen Hei"/>
        <family val="2"/>
      </rPr>
      <t xml:space="preserve">冷卻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週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</si>
  <si>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效果</t>
  </si>
  <si>
    <t xml:space="preserve">temple_sarcopenia</t>
  </si>
  <si>
    <t xml:space="preserve">宮廟肌少症篩檢</t>
  </si>
  <si>
    <t xml:space="preserve">{"spawn":{"elder":0.3},"reputation":5,"points":{"service":10}}</t>
  </si>
  <si>
    <t xml:space="preserve">廟埕擺攤量握力、測步速，阿嬤們排隊排到拜拜的香爐旁。</t>
  </si>
  <si>
    <t xml:space="preserve">health_talk</t>
  </si>
  <si>
    <t xml:space="preserve">社區衛教講座</t>
  </si>
  <si>
    <t xml:space="preserve">{"spawn":{"office":0.1,"elder":0.1},"reputation":3,"points":{"service":8}}</t>
  </si>
  <si>
    <t xml:space="preserve">社區活動中心的小講座，教大家正確的姿勢與熱敷觀念。</t>
  </si>
  <si>
    <t xml:space="preserve">school_scoliosis</t>
  </si>
  <si>
    <t xml:space="preserve">校園脊椎側彎篩檢</t>
  </si>
  <si>
    <t xml:space="preserve">{"spawn":{"kid":0.4},"reputation":6,"points":{"medical":10,"service":5}}</t>
  </si>
  <si>
    <t xml:space="preserve">國小體檢後來一波側彎篩檢，家長聽到「要不要來看看」都緊張兮兮。</t>
  </si>
  <si>
    <t xml:space="preserve">company_health</t>
  </si>
  <si>
    <t xml:space="preserve">公司健康促進講座</t>
  </si>
  <si>
    <t xml:space="preserve">{"spawn":{"office":0.35},"reputation":4,"points":{"service":8}}</t>
  </si>
  <si>
    <t xml:space="preserve">到科技公司的會議室講坐著工作的痠痛，同仁一邊聽一邊偷偷伸懶腰。</t>
  </si>
  <si>
    <t xml:space="preserve">village_walk</t>
  </si>
  <si>
    <t xml:space="preserve">里民健走活動</t>
  </si>
  <si>
    <t xml:space="preserve">{"spawn":{"elder":0.2,"sports":0.2},"reputation":3,"points":{"service":6}}</t>
  </si>
  <si>
    <t xml:space="preserve">每天早上繞里內走一圈，阿伯阿嬤帶著保溫杯，運動員也跟著跑。</t>
  </si>
  <si>
    <t xml:space="preserve">ltc_partner</t>
  </si>
  <si>
    <t xml:space="preserve">長照據點合作</t>
  </si>
  <si>
    <t xml:space="preserve">{"spawn":{"elder":0.5},"reputation":12,"points":{"service":20,"medical":5}}</t>
  </si>
  <si>
    <t xml:space="preserve">和社區長照據點簽約，每週定期去帶動能運動，阿嬤們說比去大樓下棋還好玩。</t>
  </si>
  <si>
    <t xml:space="preserve">night_run</t>
  </si>
  <si>
    <t xml:space="preserve">夜市路跑熱身站</t>
  </si>
  <si>
    <t xml:space="preserve">{"spawn":{"sports":0.4},"reputation":6,"points":{"medical":5}}</t>
  </si>
  <si>
    <t xml:space="preserve">在夜市出口設熱身站，發小冰棒、貼運動貼布，順便幫跑者看看膝蓋。</t>
  </si>
  <si>
    <t xml:space="preserve">back_knee</t>
  </si>
  <si>
    <t xml:space="preserve">護腰護膝篇</t>
  </si>
  <si>
    <t xml:space="preserve">{"patience":0.05}</t>
  </si>
  <si>
    <t xml:space="preserve">看板教大家躺下、起身的正確姿勢，候診的人看著看著就忘了等待的煩躁。</t>
  </si>
  <si>
    <t xml:space="preserve">hot_cold</t>
  </si>
  <si>
    <t xml:space="preserve">冷熱敷觀念</t>
  </si>
  <si>
    <t xml:space="preserve">{"selfPayConv":0.02}</t>
  </si>
  <si>
    <t xml:space="preserve">急性扭傷先冰、慢性痠痛才熱，看板講得很白話，大家都說「原來如此」。</t>
  </si>
  <si>
    <t xml:space="preserve">kid_milestone</t>
  </si>
  <si>
    <t xml:space="preserve">兒童發展里程碑</t>
  </si>
  <si>
    <t xml:space="preserve">{"patience":0.05,"researchGain":0.02}</t>
  </si>
  <si>
    <t xml:space="preserve">幾個月會翻身、幾歲會跑跳，家長對照著看，焦慮少了，來問問題的也變多了。</t>
  </si>
  <si>
    <t xml:space="preserve">elder_fall</t>
  </si>
  <si>
    <t xml:space="preserve">長者防跌五招</t>
  </si>
  <si>
    <t xml:space="preserve">{"slipRisk":-0.1,"elderSat":2}</t>
  </si>
  <si>
    <r>
      <rPr>
        <sz val="10"/>
        <rFont val="WenQuanYi Zen Hei"/>
        <family val="2"/>
      </rPr>
      <t xml:space="preserve">起床先坐五秒、浴室加扶手、拖鞋要穿好。阿嬤拍照存進 </t>
    </r>
    <r>
      <rPr>
        <sz val="10"/>
        <rFont val="Arial"/>
        <family val="0"/>
        <charset val="1"/>
      </rPr>
      <t xml:space="preserve">LINE </t>
    </r>
    <r>
      <rPr>
        <sz val="10"/>
        <rFont val="WenQuanYi Zen Hei"/>
        <family val="2"/>
      </rPr>
      <t xml:space="preserve">群組。</t>
    </r>
  </si>
  <si>
    <t xml:space="preserve">selfpay_explain</t>
  </si>
  <si>
    <t xml:space="preserve">自費項目說明</t>
  </si>
  <si>
    <t xml:space="preserve">{"selfPayConv":0.04}</t>
  </si>
  <si>
    <t xml:space="preserve">健保與自費差在哪、值不值得，寫清楚講明白，「為什麼要自費」少被問一次。</t>
  </si>
  <si>
    <t xml:space="preserve">elder_nutrition</t>
  </si>
  <si>
    <t xml:space="preserve">長輩營養與肌少症</t>
  </si>
  <si>
    <t xml:space="preserve">{"elderSat":3}</t>
  </si>
  <si>
    <t xml:space="preserve">吃足蛋白質、多曬太陽、動一動。阿公說：「原來不是老了才會沒力。」</t>
  </si>
  <si>
    <t xml:space="preserve">office_posture</t>
  </si>
  <si>
    <t xml:space="preserve">久坐族的頸肩操</t>
  </si>
  <si>
    <t xml:space="preserve">{"patience":0.03,"selfPayConv":0.01}</t>
  </si>
  <si>
    <t xml:space="preserve">每小時起來伸個懶腰，看板上的小人偶跟你一起抖肩。上班族笑著拍了照。</t>
  </si>
  <si>
    <t xml:space="preserve">領域</t>
  </si>
  <si>
    <t xml:space="preserve">點數成本</t>
  </si>
  <si>
    <t xml:space="preserve">週數</t>
  </si>
  <si>
    <t xml:space="preserve">前置節點</t>
  </si>
  <si>
    <t xml:space="preserve">超音波入門</t>
  </si>
  <si>
    <t xml:space="preserve">醫術</t>
  </si>
  <si>
    <r>
      <rPr>
        <sz val="10"/>
        <rFont val="WenQuanYi Zen Hei"/>
        <family val="2"/>
      </rPr>
      <t xml:space="preserve">解鎖設備：</t>
    </r>
    <r>
      <rPr>
        <sz val="10"/>
        <rFont val="Arial"/>
        <family val="0"/>
        <charset val="1"/>
      </rPr>
      <t xml:space="preserve">us_room</t>
    </r>
    <r>
      <rPr>
        <sz val="10"/>
        <rFont val="WenQuanYi Zen Hei"/>
        <family val="2"/>
      </rPr>
      <t xml:space="preserve">；解鎖治療：</t>
    </r>
    <r>
      <rPr>
        <sz val="10"/>
        <rFont val="Arial"/>
        <family val="0"/>
        <charset val="1"/>
      </rPr>
      <t xml:space="preserve">us</t>
    </r>
  </si>
  <si>
    <t xml:space="preserve">買一台超音波，順便學會看懂肌腱長什麼樣子。</t>
  </si>
  <si>
    <t xml:space="preserve">rs_evidence</t>
  </si>
  <si>
    <t xml:space="preserve">實證醫學讀書會</t>
  </si>
  <si>
    <r>
      <rPr>
        <sz val="10"/>
        <rFont val="Arial"/>
        <family val="0"/>
        <charset val="1"/>
      </rPr>
      <t xml:space="preserve">{"type":"rep","value":3}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elderSat add 2</t>
    </r>
  </si>
  <si>
    <t xml:space="preserve">每週讀一篇論文，論文看不懂就先看圖。病人聽了會覺得你很專業。</t>
  </si>
  <si>
    <r>
      <rPr>
        <sz val="10"/>
        <rFont val="WenQuanYi Zen Hei"/>
        <family val="2"/>
      </rPr>
      <t xml:space="preserve">解鎖治療：</t>
    </r>
    <r>
      <rPr>
        <sz val="10"/>
        <rFont val="Arial"/>
        <family val="0"/>
        <charset val="1"/>
      </rPr>
      <t xml:space="preserve">prp</t>
    </r>
  </si>
  <si>
    <t xml:space="preserve">抽自己的血打回去，聽起來很玄，但自費病人很買單。</t>
  </si>
  <si>
    <t xml:space="preserve">徒手治療進階</t>
  </si>
  <si>
    <r>
      <rPr>
        <sz val="10"/>
        <rFont val="WenQuanYi Zen Hei"/>
        <family val="2"/>
      </rPr>
      <t xml:space="preserve">解鎖設備：</t>
    </r>
    <r>
      <rPr>
        <sz val="10"/>
        <rFont val="Arial"/>
        <family val="0"/>
        <charset val="1"/>
      </rPr>
      <t xml:space="preserve">manual_room</t>
    </r>
    <r>
      <rPr>
        <sz val="10"/>
        <rFont val="WenQuanYi Zen Hei"/>
        <family val="2"/>
      </rPr>
      <t xml:space="preserve">；解鎖治療：</t>
    </r>
    <r>
      <rPr>
        <sz val="10"/>
        <rFont val="Arial"/>
        <family val="0"/>
        <charset val="1"/>
      </rPr>
      <t xml:space="preserve">manual_self</t>
    </r>
  </si>
  <si>
    <t xml:space="preserve">手法再細一點，捏、推、拉都有章法。治療師的手腕會感謝你。</t>
  </si>
  <si>
    <t xml:space="preserve">職能治療入門</t>
  </si>
  <si>
    <r>
      <rPr>
        <sz val="10"/>
        <rFont val="WenQuanYi Zen Hei"/>
        <family val="2"/>
      </rPr>
      <t xml:space="preserve">解鎖設備：</t>
    </r>
    <r>
      <rPr>
        <sz val="10"/>
        <rFont val="Arial"/>
        <family val="0"/>
        <charset val="1"/>
      </rPr>
      <t xml:space="preserve">si_room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fine_table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ball_pit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soft_mat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bookshelf</t>
    </r>
    <r>
      <rPr>
        <sz val="10"/>
        <rFont val="WenQuanYi Zen Hei"/>
        <family val="2"/>
      </rPr>
      <t xml:space="preserve">；解鎖治療：</t>
    </r>
    <r>
      <rPr>
        <sz val="10"/>
        <rFont val="Arial"/>
        <family val="0"/>
        <charset val="1"/>
      </rPr>
      <t xml:space="preserve">si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fine</t>
    </r>
  </si>
  <si>
    <t xml:space="preserve">球池、平衡木、繪本架一次到位，小朋友玩到不想回家。</t>
  </si>
  <si>
    <t xml:space="preserve">rs_geriatric</t>
  </si>
  <si>
    <t xml:space="preserve">長者肌少照護</t>
  </si>
  <si>
    <r>
      <rPr>
        <sz val="10"/>
        <rFont val="Arial"/>
        <family val="0"/>
        <charset val="1"/>
      </rPr>
      <t xml:space="preserve">elderSat add 4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typeSpawn.elder mul 1.15</t>
    </r>
  </si>
  <si>
    <t xml:space="preserve">阿公阿嬤的肌肉會流失，但「多動動」真的有用。長輩口碑直線上升。</t>
  </si>
  <si>
    <t xml:space="preserve">語言治療入門</t>
  </si>
  <si>
    <r>
      <rPr>
        <sz val="10"/>
        <rFont val="WenQuanYi Zen Hei"/>
        <family val="2"/>
      </rPr>
      <t xml:space="preserve">解鎖設備：</t>
    </r>
    <r>
      <rPr>
        <sz val="10"/>
        <rFont val="Arial"/>
        <family val="0"/>
        <charset val="1"/>
      </rPr>
      <t xml:space="preserve">speech_room</t>
    </r>
    <r>
      <rPr>
        <sz val="10"/>
        <rFont val="WenQuanYi Zen Hei"/>
        <family val="2"/>
      </rPr>
      <t xml:space="preserve">；解鎖治療：</t>
    </r>
    <r>
      <rPr>
        <sz val="10"/>
        <rFont val="Arial"/>
        <family val="0"/>
        <charset val="1"/>
      </rPr>
      <t xml:space="preserve">speech</t>
    </r>
  </si>
  <si>
    <t xml:space="preserve">中風後的失語、小孩的構音，都要靠它。言語治療師終於有地方坐了。</t>
  </si>
  <si>
    <t xml:space="preserve">rs_pediatric</t>
  </si>
  <si>
    <t xml:space="preserve">兒童發展評估</t>
  </si>
  <si>
    <r>
      <rPr>
        <sz val="10"/>
        <rFont val="Arial"/>
        <family val="0"/>
        <charset val="1"/>
      </rPr>
      <t xml:space="preserve">typeSpawn.kid mul 1.2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{"type":"rep","value":5}</t>
    </r>
  </si>
  <si>
    <t xml:space="preserve">「我家小孩到底是慢還是不一樣？」先評估，家長比較安心。</t>
  </si>
  <si>
    <t xml:space="preserve">rs_sports_med</t>
  </si>
  <si>
    <t xml:space="preserve">運動傷害評估</t>
  </si>
  <si>
    <r>
      <rPr>
        <sz val="10"/>
        <rFont val="Arial"/>
        <family val="0"/>
        <charset val="1"/>
      </rPr>
      <t xml:space="preserve">rs_manual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rs_ultrasound</t>
    </r>
  </si>
  <si>
    <r>
      <rPr>
        <sz val="10"/>
        <rFont val="Arial"/>
        <family val="0"/>
        <charset val="1"/>
      </rPr>
      <t xml:space="preserve">typeSpawn.sports mul 1.2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{"type":"rep","value":6}</t>
    </r>
  </si>
  <si>
    <t xml:space="preserve">半月板、跟腱、肩旋轉袖，週末運動員的傷你都看得出來。</t>
  </si>
  <si>
    <t xml:space="preserve">rs_chronic</t>
  </si>
  <si>
    <t xml:space="preserve">慢性疼痛多模式照護</t>
  </si>
  <si>
    <r>
      <rPr>
        <sz val="10"/>
        <rFont val="Arial"/>
        <family val="0"/>
        <charset val="1"/>
      </rPr>
      <t xml:space="preserve">rs_prp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rs_geriatric</t>
    </r>
  </si>
  <si>
    <r>
      <rPr>
        <sz val="10"/>
        <rFont val="Arial"/>
        <family val="0"/>
        <charset val="1"/>
      </rPr>
      <t xml:space="preserve">patience add 0.1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{"type":"rep","value":10}</t>
    </r>
  </si>
  <si>
    <t xml:space="preserve">藥、運動、心理、徒手一起來。病人說你「會聽人講話」，這句話最值錢。</t>
  </si>
  <si>
    <t xml:space="preserve">rs_heat</t>
  </si>
  <si>
    <t xml:space="preserve">熱敷效率研究</t>
  </si>
  <si>
    <t xml:space="preserve">儀器</t>
  </si>
  <si>
    <t xml:space="preserve">nhiTurnover add 0.05</t>
  </si>
  <si>
    <t xml:space="preserve">熱敷包怎麼排、溫度怎麼設，研究完發現一次可以多排一個人。</t>
  </si>
  <si>
    <t xml:space="preserve">rs_maint</t>
  </si>
  <si>
    <t xml:space="preserve">儀器保養手冊</t>
  </si>
  <si>
    <t xml:space="preserve">staffStamina add -0.05</t>
  </si>
  <si>
    <t xml:space="preserve">機器定期保養，搬運器材不再傷腰。同事說：終於不用跟機器打架了。</t>
  </si>
  <si>
    <t xml:space="preserve">體外震波技術</t>
  </si>
  <si>
    <r>
      <rPr>
        <sz val="10"/>
        <rFont val="WenQuanYi Zen Hei"/>
        <family val="2"/>
      </rPr>
      <t xml:space="preserve">解鎖設備：</t>
    </r>
    <r>
      <rPr>
        <sz val="10"/>
        <rFont val="Arial"/>
        <family val="0"/>
        <charset val="1"/>
      </rPr>
      <t xml:space="preserve">shockwave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shockwave_room</t>
    </r>
    <r>
      <rPr>
        <sz val="10"/>
        <rFont val="WenQuanYi Zen Hei"/>
        <family val="2"/>
      </rPr>
      <t xml:space="preserve">；解鎖治療：</t>
    </r>
    <r>
      <rPr>
        <sz val="10"/>
        <rFont val="Arial"/>
        <family val="0"/>
        <charset val="1"/>
      </rPr>
      <t xml:space="preserve">shockwave</t>
    </r>
  </si>
  <si>
    <t xml:space="preserve">咚咚咚的震波打在足底筋膜上，痛到病人叫媽媽，然後說「好像有差」。</t>
  </si>
  <si>
    <t xml:space="preserve">懸吊運動系統</t>
  </si>
  <si>
    <r>
      <rPr>
        <sz val="10"/>
        <rFont val="WenQuanYi Zen Hei"/>
        <family val="2"/>
      </rPr>
      <t xml:space="preserve">解鎖設備：</t>
    </r>
    <r>
      <rPr>
        <sz val="10"/>
        <rFont val="Arial"/>
        <family val="0"/>
        <charset val="1"/>
      </rPr>
      <t xml:space="preserve">redcord</t>
    </r>
    <r>
      <rPr>
        <sz val="10"/>
        <rFont val="WenQuanYi Zen Hei"/>
        <family val="2"/>
      </rPr>
      <t xml:space="preserve">；解鎖治療：</t>
    </r>
    <r>
      <rPr>
        <sz val="10"/>
        <rFont val="Arial"/>
        <family val="0"/>
        <charset val="1"/>
      </rPr>
      <t xml:space="preserve">redcord</t>
    </r>
  </si>
  <si>
    <t xml:space="preserve">吊著做運動，聽起來像在玩遊樂園，其實是很正經的核心訓練。</t>
  </si>
  <si>
    <t xml:space="preserve">足弓評估與客製鞋墊</t>
  </si>
  <si>
    <r>
      <rPr>
        <sz val="10"/>
        <rFont val="WenQuanYi Zen Hei"/>
        <family val="2"/>
      </rPr>
      <t xml:space="preserve">解鎖治療：</t>
    </r>
    <r>
      <rPr>
        <sz val="10"/>
        <rFont val="Arial"/>
        <family val="0"/>
        <charset val="1"/>
      </rPr>
      <t xml:space="preserve">insole</t>
    </r>
  </si>
  <si>
    <t xml:space="preserve">掃描腳型、訂做鞋墊。扁平足的朋友說：原來我的膝蓋痛是腳的問題。</t>
  </si>
  <si>
    <r>
      <rPr>
        <sz val="10"/>
        <rFont val="WenQuanYi Zen Hei"/>
        <family val="2"/>
      </rPr>
      <t xml:space="preserve">解鎖設備：</t>
    </r>
    <r>
      <rPr>
        <sz val="10"/>
        <rFont val="Arial"/>
        <family val="0"/>
        <charset val="1"/>
      </rPr>
      <t xml:space="preserve">laser_room</t>
    </r>
    <r>
      <rPr>
        <sz val="10"/>
        <rFont val="WenQuanYi Zen Hei"/>
        <family val="2"/>
      </rPr>
      <t xml:space="preserve">；解鎖治療：</t>
    </r>
    <r>
      <rPr>
        <sz val="10"/>
        <rFont val="Arial"/>
        <family val="0"/>
        <charset val="1"/>
      </rPr>
      <t xml:space="preserve">laser</t>
    </r>
  </si>
  <si>
    <t xml:space="preserve">雷射室一開，眼鏡要戴好。深層組織加熱，自費病人很愛這一味。</t>
  </si>
  <si>
    <t xml:space="preserve">rs_gait</t>
  </si>
  <si>
    <t xml:space="preserve">步態分析系統</t>
  </si>
  <si>
    <r>
      <rPr>
        <sz val="10"/>
        <rFont val="Arial"/>
        <family val="0"/>
        <charset val="1"/>
      </rPr>
      <t xml:space="preserve">rs_insole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rs_laser</t>
    </r>
  </si>
  <si>
    <r>
      <rPr>
        <sz val="10"/>
        <rFont val="Arial"/>
        <family val="0"/>
        <charset val="1"/>
      </rPr>
      <t xml:space="preserve">slipRisk add -0.2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walkSpeed add 0.05</t>
    </r>
  </si>
  <si>
    <t xml:space="preserve">走路的時候重心歪哪裡一目瞭然。跌倒風險降低，走路也好看了。</t>
  </si>
  <si>
    <t xml:space="preserve">rs_queue</t>
  </si>
  <si>
    <t xml:space="preserve">掛號系統數位化</t>
  </si>
  <si>
    <t xml:space="preserve">服務</t>
  </si>
  <si>
    <t xml:space="preserve">patience add 0.1</t>
  </si>
  <si>
    <t xml:space="preserve">線上掛號、叫號螢幕。候診的人終於不用一直問「還要等多久」。</t>
  </si>
  <si>
    <t xml:space="preserve">rs_admin</t>
  </si>
  <si>
    <t xml:space="preserve">行政流程改善</t>
  </si>
  <si>
    <t xml:space="preserve">walkSpeed add 0.05</t>
  </si>
  <si>
    <t xml:space="preserve">健保卡、病歷、藥單，動線重新排過，櫃檯阿姨的笑容回來了。</t>
  </si>
  <si>
    <t xml:space="preserve">rs_edu</t>
  </si>
  <si>
    <t xml:space="preserve">衛教話術訓練</t>
  </si>
  <si>
    <t xml:space="preserve">selfPayConv add 0.05</t>
  </si>
  <si>
    <t xml:space="preserve">「這個療程能幫你什麼」要講得清楚，病人才聽得懂、願意自費。</t>
  </si>
  <si>
    <t xml:space="preserve">rs_rep</t>
  </si>
  <si>
    <t xml:space="preserve">社區口碑經營</t>
  </si>
  <si>
    <t xml:space="preserve">{"type":"rep","value":15}</t>
  </si>
  <si>
    <t xml:space="preserve">里長、廟口、菜市場阿姨都知道你們家了。口耳相傳比廣告有用。</t>
  </si>
  <si>
    <t xml:space="preserve">rs_insurance</t>
  </si>
  <si>
    <t xml:space="preserve">健保申報優化</t>
  </si>
  <si>
    <t xml:space="preserve">nhiTurnover add 0.08</t>
  </si>
  <si>
    <t xml:space="preserve">申報流程順了，翻桌率跟著上來。健保署的人不一定喜歡，但病人會喜歡。</t>
  </si>
  <si>
    <t xml:space="preserve">rs_staffing</t>
  </si>
  <si>
    <t xml:space="preserve">人力排班制度</t>
  </si>
  <si>
    <r>
      <rPr>
        <sz val="10"/>
        <rFont val="Arial"/>
        <family val="0"/>
        <charset val="1"/>
      </rPr>
      <t xml:space="preserve">{"type":"maxStaff","n":1}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wageMult add -0.05</t>
    </r>
  </si>
  <si>
    <r>
      <rPr>
        <sz val="10"/>
        <rFont val="WenQuanYi Zen Hei"/>
        <family val="2"/>
      </rPr>
      <t xml:space="preserve">排班表不再靠一張白板和三通 </t>
    </r>
    <r>
      <rPr>
        <sz val="10"/>
        <rFont val="Arial"/>
        <family val="0"/>
        <charset val="1"/>
      </rPr>
      <t xml:space="preserve">LINE</t>
    </r>
    <r>
      <rPr>
        <sz val="10"/>
        <rFont val="WenQuanYi Zen Hei"/>
        <family val="2"/>
      </rPr>
      <t xml:space="preserve">。多一個位子，也省一點薪水。</t>
    </r>
  </si>
  <si>
    <t xml:space="preserve">rs_selfpay</t>
  </si>
  <si>
    <t xml:space="preserve">自費方案包裝</t>
  </si>
  <si>
    <r>
      <rPr>
        <sz val="10"/>
        <rFont val="Arial"/>
        <family val="0"/>
        <charset val="1"/>
      </rPr>
      <t xml:space="preserve">rs_edu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rs_queue</t>
    </r>
  </si>
  <si>
    <t xml:space="preserve">selfPayConv add 0.08</t>
  </si>
  <si>
    <t xml:space="preserve">套裝療程、回診優惠卡，把單次自費變成「我下個月還要來」。</t>
  </si>
  <si>
    <t xml:space="preserve">rs_expand</t>
  </si>
  <si>
    <t xml:space="preserve">擴建規劃</t>
  </si>
  <si>
    <r>
      <rPr>
        <sz val="10"/>
        <rFont val="Arial"/>
        <family val="0"/>
        <charset val="1"/>
      </rPr>
      <t xml:space="preserve">rs_staffing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rs_rep</t>
    </r>
  </si>
  <si>
    <r>
      <rPr>
        <sz val="10"/>
        <rFont val="Arial"/>
        <family val="0"/>
        <charset val="1"/>
      </rPr>
      <t xml:space="preserve">{"type":"rep","value":8}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{"type":"maxStaff","n":1}</t>
    </r>
  </si>
  <si>
    <t xml:space="preserve">先把藍圖畫好，等銀行經理點頭。擴建資格的前置作業，順便多一個治療師位子。</t>
  </si>
  <si>
    <t xml:space="preserve">rs_brand</t>
  </si>
  <si>
    <t xml:space="preserve">院長品牌經營</t>
  </si>
  <si>
    <r>
      <rPr>
        <sz val="10"/>
        <rFont val="Arial"/>
        <family val="0"/>
        <charset val="1"/>
      </rPr>
      <t xml:space="preserve">rs_expand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rs_selfpay</t>
    </r>
  </si>
  <si>
    <r>
      <rPr>
        <sz val="10"/>
        <rFont val="Arial"/>
        <family val="0"/>
        <charset val="1"/>
      </rPr>
      <t xml:space="preserve">{"type":"rep","value":30}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spawnMult add 0.05</t>
    </r>
  </si>
  <si>
    <t xml:space="preserve">出書、上節目、臉書粉專每天一則貼文。院長的名字終於比藥名還好記。</t>
  </si>
  <si>
    <t xml:space="preserve">分類</t>
  </si>
  <si>
    <t xml:space="preserve">階層</t>
  </si>
  <si>
    <t xml:space="preserve">隱藏</t>
  </si>
  <si>
    <t xml:space="preserve">條件</t>
  </si>
  <si>
    <t xml:space="preserve">隱藏提示</t>
  </si>
  <si>
    <t xml:space="preserve">徽章</t>
  </si>
  <si>
    <t xml:space="preserve">附贈稱號</t>
  </si>
  <si>
    <t xml:space="preserve">m_first_month</t>
  </si>
  <si>
    <t xml:space="preserve">開張大吉</t>
  </si>
  <si>
    <t xml:space="preserve">經營里程碑</t>
  </si>
  <si>
    <t xml:space="preserve">銅</t>
  </si>
  <si>
    <t xml:space="preserve">完成第一次月底健保結算。</t>
  </si>
  <si>
    <t xml:space="preserve">🎉</t>
  </si>
  <si>
    <t xml:space="preserve">m_cash_2m</t>
  </si>
  <si>
    <t xml:space="preserve">第一桶金</t>
  </si>
  <si>
    <r>
      <rPr>
        <sz val="10"/>
        <rFont val="WenQuanYi Zen Hei"/>
        <family val="2"/>
      </rPr>
      <t xml:space="preserve">資金累積到 </t>
    </r>
    <r>
      <rPr>
        <sz val="10"/>
        <rFont val="Arial"/>
        <family val="0"/>
        <charset val="1"/>
      </rPr>
      <t xml:space="preserve">NT$ 2,000,000 </t>
    </r>
    <r>
      <rPr>
        <sz val="10"/>
        <rFont val="WenQuanYi Zen Hei"/>
        <family val="2"/>
      </rPr>
      <t xml:space="preserve">以上。</t>
    </r>
  </si>
  <si>
    <t xml:space="preserve">💰</t>
  </si>
  <si>
    <t xml:space="preserve">m_cash_10m</t>
  </si>
  <si>
    <t xml:space="preserve">千萬院長</t>
  </si>
  <si>
    <t xml:space="preserve">金</t>
  </si>
  <si>
    <r>
      <rPr>
        <sz val="10"/>
        <rFont val="WenQuanYi Zen Hei"/>
        <family val="2"/>
      </rPr>
      <t xml:space="preserve">資金累積到 </t>
    </r>
    <r>
      <rPr>
        <sz val="10"/>
        <rFont val="Arial"/>
        <family val="0"/>
        <charset val="1"/>
      </rPr>
      <t xml:space="preserve">NT$ 10,000,000 </t>
    </r>
    <r>
      <rPr>
        <sz val="10"/>
        <rFont val="WenQuanYi Zen Hei"/>
        <family val="2"/>
      </rPr>
      <t xml:space="preserve">以上。</t>
    </r>
  </si>
  <si>
    <t xml:space="preserve">m_pat_100</t>
  </si>
  <si>
    <t xml:space="preserve">百人次</t>
  </si>
  <si>
    <r>
      <rPr>
        <sz val="10"/>
        <rFont val="WenQuanYi Zen Hei"/>
        <family val="2"/>
      </rPr>
      <t xml:space="preserve">累計服務 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位病患。</t>
    </r>
  </si>
  <si>
    <t xml:space="preserve">👥</t>
  </si>
  <si>
    <t xml:space="preserve">m_pat_1000</t>
  </si>
  <si>
    <t xml:space="preserve">千人次</t>
  </si>
  <si>
    <t xml:space="preserve">銀</t>
  </si>
  <si>
    <r>
      <rPr>
        <sz val="10"/>
        <rFont val="WenQuanYi Zen Hei"/>
        <family val="2"/>
      </rPr>
      <t xml:space="preserve">累計服務 </t>
    </r>
    <r>
      <rPr>
        <sz val="10"/>
        <rFont val="Arial"/>
        <family val="0"/>
        <charset val="1"/>
      </rPr>
      <t xml:space="preserve">1,000 </t>
    </r>
    <r>
      <rPr>
        <sz val="10"/>
        <rFont val="WenQuanYi Zen Hei"/>
        <family val="2"/>
      </rPr>
      <t xml:space="preserve">位病患。</t>
    </r>
  </si>
  <si>
    <t xml:space="preserve">m_pat_5000</t>
  </si>
  <si>
    <t xml:space="preserve">五千人次</t>
  </si>
  <si>
    <r>
      <rPr>
        <sz val="10"/>
        <rFont val="WenQuanYi Zen Hei"/>
        <family val="2"/>
      </rPr>
      <t xml:space="preserve">累計服務 </t>
    </r>
    <r>
      <rPr>
        <sz val="10"/>
        <rFont val="Arial"/>
        <family val="0"/>
        <charset val="1"/>
      </rPr>
      <t xml:space="preserve">5,000 </t>
    </r>
    <r>
      <rPr>
        <sz val="10"/>
        <rFont val="WenQuanYi Zen Hei"/>
        <family val="2"/>
      </rPr>
      <t xml:space="preserve">位病患。</t>
    </r>
  </si>
  <si>
    <t xml:space="preserve">🌟</t>
  </si>
  <si>
    <t xml:space="preserve">在地萬人迷</t>
  </si>
  <si>
    <t xml:space="preserve">m_cured_100</t>
  </si>
  <si>
    <t xml:space="preserve">妙手回春</t>
  </si>
  <si>
    <r>
      <rPr>
        <sz val="10"/>
        <rFont val="WenQuanYi Zen Hei"/>
        <family val="2"/>
      </rPr>
      <t xml:space="preserve">累計治癒 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位病患。</t>
    </r>
  </si>
  <si>
    <t xml:space="preserve">✋</t>
  </si>
  <si>
    <t xml:space="preserve">m_rep_100</t>
  </si>
  <si>
    <t xml:space="preserve">口碑起家</t>
  </si>
  <si>
    <r>
      <rPr>
        <sz val="10"/>
        <rFont val="WenQuanYi Zen Hei"/>
        <family val="2"/>
      </rPr>
      <t xml:space="preserve">聲譽達到 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以上。</t>
    </r>
  </si>
  <si>
    <t xml:space="preserve">📣</t>
  </si>
  <si>
    <t xml:space="preserve">m_rep_250</t>
  </si>
  <si>
    <t xml:space="preserve">地方名醫</t>
  </si>
  <si>
    <r>
      <rPr>
        <sz val="10"/>
        <rFont val="WenQuanYi Zen Hei"/>
        <family val="2"/>
      </rPr>
      <t xml:space="preserve">聲譽達到 </t>
    </r>
    <r>
      <rPr>
        <sz val="10"/>
        <rFont val="Arial"/>
        <family val="0"/>
        <charset val="1"/>
      </rPr>
      <t xml:space="preserve">250 </t>
    </r>
    <r>
      <rPr>
        <sz val="10"/>
        <rFont val="WenQuanYi Zen Hei"/>
        <family val="2"/>
      </rPr>
      <t xml:space="preserve">以上。</t>
    </r>
  </si>
  <si>
    <t xml:space="preserve">m_rep_600</t>
  </si>
  <si>
    <t xml:space="preserve">全國有名</t>
  </si>
  <si>
    <r>
      <rPr>
        <sz val="10"/>
        <rFont val="WenQuanYi Zen Hei"/>
        <family val="2"/>
      </rPr>
      <t xml:space="preserve">聲譽達到 </t>
    </r>
    <r>
      <rPr>
        <sz val="10"/>
        <rFont val="Arial"/>
        <family val="0"/>
        <charset val="1"/>
      </rPr>
      <t xml:space="preserve">600 </t>
    </r>
    <r>
      <rPr>
        <sz val="10"/>
        <rFont val="WenQuanYi Zen Hei"/>
        <family val="2"/>
      </rPr>
      <t xml:space="preserve">以上。</t>
    </r>
  </si>
  <si>
    <t xml:space="preserve">🎖️</t>
  </si>
  <si>
    <t xml:space="preserve">國民復健名醫</t>
  </si>
  <si>
    <t xml:space="preserve">m_lot1</t>
  </si>
  <si>
    <t xml:space="preserve">搬新家</t>
  </si>
  <si>
    <t xml:space="preserve">擴建到「社區診所」。</t>
  </si>
  <si>
    <t xml:space="preserve">🏠</t>
  </si>
  <si>
    <t xml:space="preserve">m_lot2</t>
  </si>
  <si>
    <t xml:space="preserve">擴大營業</t>
  </si>
  <si>
    <t xml:space="preserve">擴建到「地區復健中心」。</t>
  </si>
  <si>
    <t xml:space="preserve">🏢</t>
  </si>
  <si>
    <t xml:space="preserve">m_lot3</t>
  </si>
  <si>
    <t xml:space="preserve">頂尖中心</t>
  </si>
  <si>
    <t xml:space="preserve">擴建到「全台頂尖復健中心」。</t>
  </si>
  <si>
    <t xml:space="preserve">🏙️</t>
  </si>
  <si>
    <t xml:space="preserve">復健中心創辦人</t>
  </si>
  <si>
    <t xml:space="preserve">m_year3</t>
  </si>
  <si>
    <t xml:space="preserve">三週年</t>
  </si>
  <si>
    <r>
      <rPr>
        <sz val="10"/>
        <rFont val="WenQuanYi Zen Hei"/>
        <family val="2"/>
      </rPr>
      <t xml:space="preserve">經營滿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年，順利進入第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年。</t>
    </r>
  </si>
  <si>
    <t xml:space="preserve">🎂</t>
  </si>
  <si>
    <t xml:space="preserve">m_five_roles</t>
  </si>
  <si>
    <t xml:space="preserve">五職齊備</t>
  </si>
  <si>
    <r>
      <rPr>
        <sz val="10"/>
        <rFont val="WenQuanYi Zen Hei"/>
        <family val="2"/>
      </rPr>
      <t xml:space="preserve">同時聘有醫師、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OT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ST</t>
    </r>
    <r>
      <rPr>
        <sz val="10"/>
        <rFont val="WenQuanYi Zen Hei"/>
        <family val="2"/>
      </rPr>
      <t xml:space="preserve">、護理師。</t>
    </r>
  </si>
  <si>
    <t xml:space="preserve">🧑‍⚕️</t>
  </si>
  <si>
    <t xml:space="preserve">m_research_all</t>
  </si>
  <si>
    <t xml:space="preserve">學無止境</t>
  </si>
  <si>
    <t xml:space="preserve">完成全部研發節點。</t>
  </si>
  <si>
    <t xml:space="preserve">🔬</t>
  </si>
  <si>
    <t xml:space="preserve">研發怪咖院長</t>
  </si>
  <si>
    <t xml:space="preserve">t_cold_week</t>
  </si>
  <si>
    <t xml:space="preserve">寒流守護者</t>
  </si>
  <si>
    <t xml:space="preserve">台灣在地特色</t>
  </si>
  <si>
    <r>
      <rPr>
        <sz val="10"/>
        <rFont val="WenQuanYi Zen Hei"/>
        <family val="2"/>
      </rPr>
      <t xml:space="preserve">寒流週結束時，該週服務 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位以上長輩。</t>
    </r>
  </si>
  <si>
    <t xml:space="preserve">🧣</t>
  </si>
  <si>
    <t xml:space="preserve">t_rain_safe</t>
  </si>
  <si>
    <t xml:space="preserve">風雨無阻</t>
  </si>
  <si>
    <r>
      <rPr>
        <sz val="10"/>
        <rFont val="WenQuanYi Zen Hei"/>
        <family val="2"/>
      </rPr>
      <t xml:space="preserve">雨天週服務 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位以上病患，且該週沒有人滑倒。</t>
    </r>
  </si>
  <si>
    <t xml:space="preserve">☔</t>
  </si>
  <si>
    <t xml:space="preserve">t_typhoon</t>
  </si>
  <si>
    <t xml:space="preserve">颱風天照常營業</t>
  </si>
  <si>
    <r>
      <rPr>
        <sz val="10"/>
        <rFont val="WenQuanYi Zen Hei"/>
        <family val="2"/>
      </rPr>
      <t xml:space="preserve">颱風週服務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位以上病患。</t>
    </r>
  </si>
  <si>
    <t xml:space="preserve">🌀</t>
  </si>
  <si>
    <t xml:space="preserve">t_temple</t>
  </si>
  <si>
    <t xml:space="preserve">廟口肌少症剋星</t>
  </si>
  <si>
    <t xml:space="preserve">完成一次「宮廟肌少症篩檢」。</t>
  </si>
  <si>
    <t xml:space="preserve">🛕</t>
  </si>
  <si>
    <t xml:space="preserve">t_community_all</t>
  </si>
  <si>
    <t xml:space="preserve">里民好厝邊</t>
  </si>
  <si>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種社區活動各至少完成過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次。</t>
    </r>
  </si>
  <si>
    <t xml:space="preserve">🤝</t>
  </si>
  <si>
    <t xml:space="preserve">t_audit</t>
  </si>
  <si>
    <t xml:space="preserve">督導過關</t>
  </si>
  <si>
    <t xml:space="preserve">首次通過衛生局督導或健保署抽查。</t>
  </si>
  <si>
    <t xml:space="preserve">📋</t>
  </si>
  <si>
    <t xml:space="preserve">t_audit_excellent</t>
  </si>
  <si>
    <t xml:space="preserve">督導優等</t>
  </si>
  <si>
    <t xml:space="preserve">評鑑分數達到「優等」等級。</t>
  </si>
  <si>
    <t xml:space="preserve">⭐</t>
  </si>
  <si>
    <t xml:space="preserve">t_audit_3</t>
  </si>
  <si>
    <t xml:space="preserve">模範診所</t>
  </si>
  <si>
    <r>
      <rPr>
        <sz val="10"/>
        <rFont val="WenQuanYi Zen Hei"/>
        <family val="2"/>
      </rPr>
      <t xml:space="preserve">連續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年通過評鑑。</t>
    </r>
  </si>
  <si>
    <t xml:space="preserve">🏅</t>
  </si>
  <si>
    <t xml:space="preserve">評鑑模範生</t>
  </si>
  <si>
    <t xml:space="preserve">t_dilemma_5</t>
  </si>
  <si>
    <t xml:space="preserve">溝通達人</t>
  </si>
  <si>
    <r>
      <rPr>
        <sz val="10"/>
        <rFont val="WenQuanYi Zen Hei"/>
        <family val="2"/>
      </rPr>
      <t xml:space="preserve">處理過 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次醫病溝通情境。</t>
    </r>
  </si>
  <si>
    <t xml:space="preserve">t_dilemma_all</t>
  </si>
  <si>
    <t xml:space="preserve">阿嬤說了算</t>
  </si>
  <si>
    <t xml:space="preserve">四種醫病溝通情境都處理過（止痛藥、只做電療、過度治療、客訴）。</t>
  </si>
  <si>
    <t xml:space="preserve">👵</t>
  </si>
  <si>
    <t xml:space="preserve">溝通大師</t>
  </si>
  <si>
    <t xml:space="preserve">t_selfpay_40</t>
  </si>
  <si>
    <t xml:space="preserve">自費轉型成功</t>
  </si>
  <si>
    <r>
      <rPr>
        <sz val="10"/>
        <rFont val="WenQuanYi Zen Hei"/>
        <family val="2"/>
      </rPr>
      <t xml:space="preserve">單月自費收入佔總收入 </t>
    </r>
    <r>
      <rPr>
        <sz val="10"/>
        <rFont val="Arial"/>
        <family val="0"/>
        <charset val="1"/>
      </rPr>
      <t xml:space="preserve">40% </t>
    </r>
    <r>
      <rPr>
        <sz val="10"/>
        <rFont val="WenQuanYi Zen Hei"/>
        <family val="2"/>
      </rPr>
      <t xml:space="preserve">以上。</t>
    </r>
  </si>
  <si>
    <t xml:space="preserve">💳</t>
  </si>
  <si>
    <t xml:space="preserve">t_board_3</t>
  </si>
  <si>
    <t xml:space="preserve">衛教達人</t>
  </si>
  <si>
    <r>
      <rPr>
        <sz val="10"/>
        <rFont val="WenQuanYi Zen Hei"/>
        <family val="2"/>
      </rPr>
      <t xml:space="preserve">同時啟用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個衛教看板。</t>
    </r>
  </si>
  <si>
    <t xml:space="preserve">c_zone_golden</t>
  </si>
  <si>
    <t xml:space="preserve">黃金三寶</t>
  </si>
  <si>
    <t xml:space="preserve">挑戰與隱藏</t>
  </si>
  <si>
    <t xml:space="preserve">啟動「黃金三寶區」。</t>
  </si>
  <si>
    <t xml:space="preserve">c_zone_premium</t>
  </si>
  <si>
    <t xml:space="preserve">高階自費</t>
  </si>
  <si>
    <t xml:space="preserve">啟動「高階自費專區」。</t>
  </si>
  <si>
    <t xml:space="preserve">c_zone_kidpark</t>
  </si>
  <si>
    <t xml:space="preserve">放電樂園</t>
  </si>
  <si>
    <t xml:space="preserve">啟動「早療放電樂園」。</t>
  </si>
  <si>
    <t xml:space="preserve">🎠</t>
  </si>
  <si>
    <t xml:space="preserve">c_zone_all</t>
  </si>
  <si>
    <t xml:space="preserve">專區大滿貫</t>
  </si>
  <si>
    <t xml:space="preserve">黃金三寶區、高階自費專區、早療放電樂園同時啟動。</t>
  </si>
  <si>
    <t xml:space="preserve">🗺️</t>
  </si>
  <si>
    <t xml:space="preserve">專區規劃師</t>
  </si>
  <si>
    <t xml:space="preserve">c_zero_slip_year</t>
  </si>
  <si>
    <t xml:space="preserve">零滑倒一整年</t>
  </si>
  <si>
    <r>
      <rPr>
        <sz val="10"/>
        <rFont val="WenQuanYi Zen Hei"/>
        <family val="2"/>
      </rPr>
      <t xml:space="preserve">一個完整年度（</t>
    </r>
    <r>
      <rPr>
        <sz val="10"/>
        <rFont val="Arial"/>
        <family val="0"/>
        <charset val="1"/>
      </rPr>
      <t xml:space="preserve">12 </t>
    </r>
    <r>
      <rPr>
        <sz val="10"/>
        <rFont val="WenQuanYi Zen Hei"/>
        <family val="2"/>
      </rPr>
      <t xml:space="preserve">個月）內零人滑倒，且至少服務 </t>
    </r>
    <r>
      <rPr>
        <sz val="10"/>
        <rFont val="Arial"/>
        <family val="0"/>
        <charset val="1"/>
      </rPr>
      <t xml:space="preserve">200 </t>
    </r>
    <r>
      <rPr>
        <sz val="10"/>
        <rFont val="WenQuanYi Zen Hei"/>
        <family val="2"/>
      </rPr>
      <t xml:space="preserve">位病患。</t>
    </r>
  </si>
  <si>
    <t xml:space="preserve">🦶</t>
  </si>
  <si>
    <t xml:space="preserve">防滑達人</t>
  </si>
  <si>
    <t xml:space="preserve">c_no_angry_month</t>
  </si>
  <si>
    <t xml:space="preserve">笑臉迎人</t>
  </si>
  <si>
    <r>
      <rPr>
        <sz val="10"/>
        <rFont val="WenQuanYi Zen Hei"/>
        <family val="2"/>
      </rPr>
      <t xml:space="preserve">單月內沒有任何病患因滿意度低於 </t>
    </r>
    <r>
      <rPr>
        <sz val="10"/>
        <rFont val="Arial"/>
        <family val="0"/>
        <charset val="1"/>
      </rPr>
      <t xml:space="preserve">25 </t>
    </r>
    <r>
      <rPr>
        <sz val="10"/>
        <rFont val="WenQuanYi Zen Hei"/>
        <family val="2"/>
      </rPr>
      <t xml:space="preserve">或候診超時而憤怒離開，且該月服務 </t>
    </r>
    <r>
      <rPr>
        <sz val="10"/>
        <rFont val="Arial"/>
        <family val="0"/>
        <charset val="1"/>
      </rPr>
      <t xml:space="preserve">20 </t>
    </r>
    <r>
      <rPr>
        <sz val="10"/>
        <rFont val="WenQuanYi Zen Hei"/>
        <family val="2"/>
      </rPr>
      <t xml:space="preserve">人以上。</t>
    </r>
  </si>
  <si>
    <t xml:space="preserve">😊</t>
  </si>
  <si>
    <t xml:space="preserve">c_full_house</t>
  </si>
  <si>
    <t xml:space="preserve">門庭若市</t>
  </si>
  <si>
    <r>
      <rPr>
        <sz val="10"/>
        <rFont val="WenQuanYi Zen Hei"/>
        <family val="2"/>
      </rPr>
      <t xml:space="preserve">擴建後，單週服務人數達到店面上限的 </t>
    </r>
    <r>
      <rPr>
        <sz val="10"/>
        <rFont val="Arial"/>
        <family val="0"/>
        <charset val="1"/>
      </rPr>
      <t xml:space="preserve">90% </t>
    </r>
    <r>
      <rPr>
        <sz val="10"/>
        <rFont val="WenQuanYi Zen Hei"/>
        <family val="2"/>
      </rPr>
      <t xml:space="preserve">以上。</t>
    </r>
  </si>
  <si>
    <t xml:space="preserve">🈵</t>
  </si>
  <si>
    <t xml:space="preserve">c_pure_nhi</t>
  </si>
  <si>
    <t xml:space="preserve">純健保硬撐</t>
  </si>
  <si>
    <r>
      <rPr>
        <sz val="10"/>
        <rFont val="WenQuanYi Zen Hei"/>
        <family val="2"/>
      </rPr>
      <t xml:space="preserve">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年全程未收取任何自費治療費，且年底資金不低於起始資金。</t>
    </r>
  </si>
  <si>
    <t xml:space="preserve">🧾</t>
  </si>
  <si>
    <t xml:space="preserve">純健保硬漢</t>
  </si>
  <si>
    <t xml:space="preserve">c_one_week_cure</t>
  </si>
  <si>
    <t xml:space="preserve">神醫降臨</t>
  </si>
  <si>
    <r>
      <rPr>
        <sz val="10"/>
        <rFont val="WenQuanYi Zen Hei"/>
        <family val="2"/>
      </rPr>
      <t xml:space="preserve">單週治癒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位以上病患。</t>
    </r>
  </si>
  <si>
    <t xml:space="preserve">💊</t>
  </si>
  <si>
    <t xml:space="preserve">h_coffee</t>
  </si>
  <si>
    <t xml:space="preserve">咖啡成癮</t>
  </si>
  <si>
    <r>
      <rPr>
        <sz val="10"/>
        <rFont val="WenQuanYi Zen Hei"/>
        <family val="2"/>
      </rPr>
      <t xml:space="preserve">同時擁有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台咖啡機。</t>
    </r>
  </si>
  <si>
    <t xml:space="preserve">診所裡的咖啡香越來越濃了……</t>
  </si>
  <si>
    <t xml:space="preserve">☕☕</t>
  </si>
  <si>
    <t xml:space="preserve">h_chat</t>
  </si>
  <si>
    <t xml:space="preserve">聊天治百病</t>
  </si>
  <si>
    <r>
      <rPr>
        <sz val="10"/>
        <rFont val="WenQuanYi Zen Hei"/>
        <family val="2"/>
      </rPr>
      <t xml:space="preserve">長輩與治療師累計聊天 </t>
    </r>
    <r>
      <rPr>
        <sz val="10"/>
        <rFont val="Arial"/>
        <family val="0"/>
        <charset val="1"/>
      </rPr>
      <t xml:space="preserve">50 </t>
    </r>
    <r>
      <rPr>
        <sz val="10"/>
        <rFont val="WenQuanYi Zen Hei"/>
        <family val="2"/>
      </rPr>
      <t xml:space="preserve">次。</t>
    </r>
  </si>
  <si>
    <t xml:space="preserve">長輩的話匣子一開，就很難關起來。</t>
  </si>
  <si>
    <t xml:space="preserve">🗣️</t>
  </si>
  <si>
    <t xml:space="preserve">h_comeback</t>
  </si>
  <si>
    <t xml:space="preserve">絕處逢生</t>
  </si>
  <si>
    <r>
      <rPr>
        <sz val="10"/>
        <rFont val="WenQuanYi Zen Hei"/>
        <family val="2"/>
      </rPr>
      <t xml:space="preserve">資金曾低於 </t>
    </r>
    <r>
      <rPr>
        <sz val="10"/>
        <rFont val="Arial"/>
        <family val="0"/>
        <charset val="1"/>
      </rPr>
      <t xml:space="preserve">NT$ 50,000</t>
    </r>
    <r>
      <rPr>
        <sz val="10"/>
        <rFont val="WenQuanYi Zen Hei"/>
        <family val="2"/>
      </rPr>
      <t xml:space="preserve">，之後回升到 </t>
    </r>
    <r>
      <rPr>
        <sz val="10"/>
        <rFont val="Arial"/>
        <family val="0"/>
        <charset val="1"/>
      </rPr>
      <t xml:space="preserve">NT$ 1,000,000 </t>
    </r>
    <r>
      <rPr>
        <sz val="10"/>
        <rFont val="WenQuanYi Zen Hei"/>
        <family val="2"/>
      </rPr>
      <t xml:space="preserve">以上。</t>
    </r>
  </si>
  <si>
    <t xml:space="preserve">錢包見底不代表結束，看看有沒有翻身的機會。</t>
  </si>
  <si>
    <t xml:space="preserve">🔥</t>
  </si>
  <si>
    <t xml:space="preserve">不死鳥院長</t>
  </si>
  <si>
    <t xml:space="preserve">h_plants</t>
  </si>
  <si>
    <t xml:space="preserve">叢林診所</t>
  </si>
  <si>
    <r>
      <rPr>
        <sz val="10"/>
        <rFont val="WenQuanYi Zen Hei"/>
        <family val="2"/>
      </rPr>
      <t xml:space="preserve">同時擺放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盆綠植。</t>
    </r>
  </si>
  <si>
    <t xml:space="preserve">診所裡的綠意越來越濃，快變成森林了？</t>
  </si>
  <si>
    <t xml:space="preserve">🌿</t>
  </si>
  <si>
    <t xml:space="preserve">標題</t>
  </si>
  <si>
    <t xml:space="preserve">來源</t>
  </si>
  <si>
    <t xml:space="preserve">大事件</t>
  </si>
  <si>
    <t xml:space="preserve">觸發條件</t>
  </si>
  <si>
    <t xml:space="preserve">情境</t>
  </si>
  <si>
    <t xml:space="preserve">選項</t>
  </si>
  <si>
    <t xml:space="preserve">li_chief</t>
  </si>
  <si>
    <t xml:space="preserve">里長邀約</t>
  </si>
  <si>
    <r>
      <rPr>
        <sz val="10"/>
        <rFont val="WenQuanYi Zen Hei"/>
        <family val="2"/>
      </rPr>
      <t xml:space="preserve">隨機事件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原有</t>
    </r>
    <r>
      <rPr>
        <sz val="10"/>
        <rFont val="Arial"/>
        <family val="0"/>
        <charset val="1"/>
      </rPr>
      <t xml:space="preserve">)</t>
    </r>
  </si>
  <si>
    <t xml:space="preserve">一般</t>
  </si>
  <si>
    <t xml:space="preserve">里長打電話來：「醫生啊，里民活動中心下禮拜要辦健康日，你們來擺個攤？」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</si>
  <si>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好啊，免費幫大家篩檢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婉拒，我們診所忙不過來</t>
    </r>
  </si>
  <si>
    <t xml:space="preserve">nhi_audit</t>
  </si>
  <si>
    <t xml:space="preserve">健保署抽審</t>
  </si>
  <si>
    <t xml:space="preserve">{"minYear":1}</t>
  </si>
  <si>
    <t xml:space="preserve">健保署來函，要抽調上個月的病歷和申報資料。信封很厚，主任的表情很薄。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</si>
  <si>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配合調閱，全力準備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交給行政處理，自己繼續看診</t>
    </r>
  </si>
  <si>
    <t xml:space="preserve">media_interview</t>
  </si>
  <si>
    <t xml:space="preserve">地方電視台採訪</t>
  </si>
  <si>
    <t xml:space="preserve">{"minRep":80}</t>
  </si>
  <si>
    <t xml:space="preserve">地方電視台的記者說想拍「阿伯的膝蓋」專題，問你要不要上鏡頭。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</si>
  <si>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上節目分享復健觀念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婉拒，專心看病</t>
    </r>
  </si>
  <si>
    <t xml:space="preserve">poach</t>
  </si>
  <si>
    <t xml:space="preserve">員工被挖角</t>
  </si>
  <si>
    <t xml:space="preserve">隔壁大醫院的人資私訊你的員工，說薪水可以多兩成，還附停車位。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</si>
  <si>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加薪留人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祝他前程似錦</t>
    </r>
  </si>
  <si>
    <t xml:space="preserve">vendor_promo</t>
  </si>
  <si>
    <t xml:space="preserve">儀器廠商促銷</t>
  </si>
  <si>
    <t xml:space="preserve">儀器業務帶著笑容來：「醫生，這台新機器限時八折，現在下單還送保固！」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</si>
  <si>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買！機器看起來很厲害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不買，先把舊的顧好</t>
    </r>
  </si>
  <si>
    <t xml:space="preserve">flood</t>
  </si>
  <si>
    <t xml:space="preserve">颱風淹水</t>
  </si>
  <si>
    <t xml:space="preserve">{"weather":["typhoon"]}</t>
  </si>
  <si>
    <t xml:space="preserve">颱風過後，馬路變成小河。診所一樓的地板泡在水裡，沙發還在飄。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</si>
  <si>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全體動員清理，搶救設備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停診兩週慢慢修</t>
    </r>
  </si>
  <si>
    <t xml:space="preserve">pharma_rep</t>
  </si>
  <si>
    <t xml:space="preserve">藥廠業務來訪</t>
  </si>
  <si>
    <t xml:space="preserve">藥廠業務說想請醫生當「學術講者」，一場講座講師費很可觀，但要唸他們的投影片。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</si>
  <si>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接受，去講一場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婉拒，我們不跟藥廠合作</t>
    </r>
  </si>
  <si>
    <t xml:space="preserve">fall_lobby</t>
  </si>
  <si>
    <t xml:space="preserve">大廳有人跌倒</t>
  </si>
  <si>
    <t xml:space="preserve">一位阿伯在大廳地板滑了一跤，家屬衝進來大聲問：「你們的地板是怎麼回事？」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</si>
  <si>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立刻送急診，全程陪同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請家屬簽切結書就好</t>
    </r>
  </si>
  <si>
    <t xml:space="preserve">staff_birthday</t>
  </si>
  <si>
    <t xml:space="preserve">護理師生日</t>
  </si>
  <si>
    <t xml:space="preserve">櫃檯護理師生日，同事們想辦個小派對，問醫生能不能出點經費。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</si>
  <si>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全額買蛋糕，犒賞辛苦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大家自己湊錢吧</t>
    </r>
  </si>
  <si>
    <t xml:space="preserve">viral_video</t>
  </si>
  <si>
    <t xml:space="preserve">病人影片爆紅</t>
  </si>
  <si>
    <t xml:space="preserve">{"minRep":60}</t>
  </si>
  <si>
    <t xml:space="preserve">有病人偷偷拍了你幫他做徒手治療的影片，上傳後居然爆紅，留言一堆「我也要看這醫生」。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</si>
  <si>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順勢拍衛教短片，好好經營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請病人把影片刪掉</t>
    </r>
  </si>
  <si>
    <t xml:space="preserve">equip_recall</t>
  </si>
  <si>
    <t xml:space="preserve">儀器召回通知</t>
  </si>
  <si>
    <t xml:space="preserve">{"minYear":1,"hasObject":["tens"]}</t>
  </si>
  <si>
    <t xml:space="preserve">廠商發通知，你家那台電療儀有安全疑慮要召回，換新機要自費，還附一張道歉信。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</si>
  <si>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立刻換新，安全第一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先用舊的，觀察看看</t>
    </r>
  </si>
  <si>
    <t xml:space="preserve">insurance_sales</t>
  </si>
  <si>
    <t xml:space="preserve">保險業務上門</t>
  </si>
  <si>
    <t xml:space="preserve">保險業務說可以幫員工辦團體醫療險，保費算你們便宜，但要先簽一堆資料。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</si>
  <si>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幫員工加保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婉拒，我自己的保險都看不懂</t>
    </r>
  </si>
  <si>
    <t xml:space="preserve">govt_subsidy</t>
  </si>
  <si>
    <t xml:space="preserve">衛生局補助公告</t>
  </si>
  <si>
    <t xml:space="preserve">衛生局公告長照整合補助，申請表有十七頁，光是附件就要三個月。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</si>
  <si>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申請，準備一整箱資料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不想搞這麼多文書</t>
    </r>
  </si>
  <si>
    <t xml:space="preserve">school_talk</t>
  </si>
  <si>
    <t xml:space="preserve">國小邀請講座</t>
  </si>
  <si>
    <t xml:space="preserve">附近國小的老師來電：「醫生，我們想請你來講一堂『如何坐得好、背不痛』，小朋友超有興趣的！」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</si>
  <si>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去講，順便做篩檢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婉拒，週末要休息</t>
    </r>
  </si>
  <si>
    <t xml:space="preserve">parking_fine</t>
  </si>
  <si>
    <t xml:space="preserve">門口被開罰單</t>
  </si>
  <si>
    <t xml:space="preserve">路邊臨停的救護車（不是我們的）被拖吊，里民抱怨說是診所門口讓車子亂停。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</si>
  <si>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請行政去跟交通局溝通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在門口貼公告，請大家勿停</t>
    </r>
  </si>
  <si>
    <t xml:space="preserve">nhi_ratio_review</t>
  </si>
  <si>
    <t xml:space="preserve">專業審查：等級比例怪怪的</t>
  </si>
  <si>
    <r>
      <rPr>
        <sz val="10"/>
        <rFont val="WenQuanYi Zen Hei"/>
        <family val="2"/>
      </rPr>
      <t xml:space="preserve">調查擴充 </t>
    </r>
    <r>
      <rPr>
        <sz val="10"/>
        <rFont val="Arial"/>
        <family val="0"/>
        <charset val="1"/>
      </rPr>
      <t xml:space="preserve">A/B</t>
    </r>
  </si>
  <si>
    <t xml:space="preserve">健保營運</t>
  </si>
  <si>
    <t xml:space="preserve">{"minYear":1,"monthPointsOverCapPct":90}</t>
  </si>
  <si>
    <t xml:space="preserve">審查來函說：「貴所複雜治療占比，和鄰近同儕不太一樣。」主任看著報表，報表也看著主任。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</si>
  <si>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補齊治療紀錄與時間表，全力備審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申覆，賭一把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認賠，並調整排程</t>
    </r>
  </si>
  <si>
    <t xml:space="preserve">nhi_growth_flag</t>
  </si>
  <si>
    <t xml:space="preserve">申報成長太快被點名</t>
  </si>
  <si>
    <t xml:space="preserve">{"minYear":2}</t>
  </si>
  <si>
    <t xml:space="preserve">公文寫「近期申報成長幅度較高」，同仁私下說：「我們只是太認真。」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</si>
  <si>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外聘申報顧問做體檢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自己備齊資料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不理會，生意好是我家的事</t>
    </r>
  </si>
  <si>
    <t xml:space="preserve">nhi_missing_record</t>
  </si>
  <si>
    <t xml:space="preserve">治療紀錄漏簽</t>
  </si>
  <si>
    <t xml:space="preserve">月底對帳發現三十幾張治療單沒簽名，護理師的筆在抽屜裡集體失蹤。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</si>
  <si>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全員補單週（週末加班）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導入電子簽核表單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這些先不報</t>
    </r>
  </si>
  <si>
    <t xml:space="preserve">nhi_sixth_visit</t>
  </si>
  <si>
    <t xml:space="preserve">第七次還想只躺不看</t>
  </si>
  <si>
    <t xml:space="preserve">阿嬤第七次報到：「醫生上週才看過啦，我直接躺就好！」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</si>
  <si>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請她掛號，醫師重新評估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用簡訊提前預約下次回診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幫她續處方，反正熟</t>
    </r>
  </si>
  <si>
    <t xml:space="preserve">nhi_pt_cap</t>
  </si>
  <si>
    <t xml:space="preserve">治療師今天人次爆表</t>
  </si>
  <si>
    <t xml:space="preserve">{"hasStaff":{"pt":1}}</t>
  </si>
  <si>
    <r>
      <rPr>
        <sz val="10"/>
        <rFont val="WenQuanYi Zen Hei"/>
        <family val="2"/>
      </rPr>
      <t xml:space="preserve">計數器顯示小林治療師今天已經做到第 </t>
    </r>
    <r>
      <rPr>
        <sz val="10"/>
        <rFont val="Arial"/>
        <family val="0"/>
        <charset val="1"/>
      </rPr>
      <t xml:space="preserve">46 </t>
    </r>
    <r>
      <rPr>
        <sz val="10"/>
        <rFont val="WenQuanYi Zen Hei"/>
        <family val="2"/>
      </rPr>
      <t xml:space="preserve">個人，他的手也在抗議。</t>
    </r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</si>
  <si>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加聘兼職治療師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限號，超額請改天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照做，超過的當義診</t>
    </r>
  </si>
  <si>
    <t xml:space="preserve">nhi_role_mismatch</t>
  </si>
  <si>
    <t xml:space="preserve">誰做的治療就報誰</t>
  </si>
  <si>
    <t xml:space="preserve">{"hasStaff":{"ot":1,"pt":1}}</t>
  </si>
  <si>
    <t xml:space="preserve">行政發現早療的申報代碼，和實際執行的人對不上，兩邊都說：「我以為你會改。」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</si>
  <si>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立刻內部稽核，更正歷史申報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補聘 </t>
    </r>
    <r>
      <rPr>
        <sz val="10"/>
        <rFont val="Arial"/>
        <family val="0"/>
        <charset val="1"/>
      </rPr>
      <t xml:space="preserve">PT </t>
    </r>
    <r>
      <rPr>
        <sz val="10"/>
        <rFont val="WenQuanYi Zen Hei"/>
        <family val="2"/>
      </rPr>
      <t xml:space="preserve">專責，</t>
    </r>
    <r>
      <rPr>
        <sz val="10"/>
        <rFont val="Arial"/>
        <family val="0"/>
        <charset val="1"/>
      </rPr>
      <t xml:space="preserve">OT </t>
    </r>
    <r>
      <rPr>
        <sz val="10"/>
        <rFont val="WenQuanYi Zen Hei"/>
        <family val="2"/>
      </rPr>
      <t xml:space="preserve">專做職能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名稱而已啦</t>
    </r>
  </si>
  <si>
    <t xml:space="preserve">nhi_neighbor_fraud</t>
  </si>
  <si>
    <t xml:space="preserve">同業被終止特約的新聞</t>
  </si>
  <si>
    <t xml:space="preserve">{"minRep":40}</t>
  </si>
  <si>
    <t xml:space="preserve">新聞說某區有診所「補卡刷兩次」被停約，阿嬤們到處問：「你們有沒有這樣？」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</si>
  <si>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貼公告：一律先診察、不重複刷卡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只回答「我們合法啦」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趁機接收對方流失的病人</t>
    </r>
  </si>
  <si>
    <t xml:space="preserve">nhi_pv_drop</t>
  </si>
  <si>
    <t xml:space="preserve">季點值下滑</t>
  </si>
  <si>
    <t xml:space="preserve">{"pvBelow":0.9,"months":[3,6,9,12]}</t>
  </si>
  <si>
    <t xml:space="preserve">季結算單寄到：點值又掉了。會計小姐說：「我們賣得越多，每點越不值錢。」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</si>
  <si>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看板加強自費說明，推有用的自費項目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控制健保量，減少電熱療排程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先吞下去</t>
    </r>
  </si>
  <si>
    <t xml:space="preserve">nhi_clawback</t>
  </si>
  <si>
    <t xml:space="preserve">暫付金額被追回</t>
  </si>
  <si>
    <t xml:space="preserve">{"months":[3,6,9,12]}</t>
  </si>
  <si>
    <t xml:space="preserve">公文寫「暫付與結算差額」，老闆看了三遍，數字沒有變。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</si>
  <si>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早就提列準備金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照樣花，扣到再說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申請分期</t>
    </r>
  </si>
  <si>
    <t xml:space="preserve">nhi_survey_call</t>
  </si>
  <si>
    <t xml:space="preserve">健保來電訪問病人</t>
  </si>
  <si>
    <t xml:space="preserve">阿伯接到電話被問：「你上禮拜有去復健嗎？」他回頭問櫃檯：「我有去嗎？」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</si>
  <si>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告訴病人：據實回答就好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請同仁整理到診紀錄，備查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提醒大家「怎麼回答比較好」</t>
    </r>
  </si>
  <si>
    <t xml:space="preserve">nhi_regular_guest</t>
  </si>
  <si>
    <t xml:space="preserve">回診拿熱敷的常客</t>
  </si>
  <si>
    <t xml:space="preserve">阿伯每週三準時報到，熱敷、聊天、順便評論診所椅子，已經變成里的新聞台。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</si>
  <si>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評估後改運動處方，教居家運動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轉介社區活動據點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照單全收</t>
    </r>
  </si>
  <si>
    <t xml:space="preserve">nhi_evidence_news</t>
  </si>
  <si>
    <t xml:space="preserve">新聞說電熱療效果有限</t>
  </si>
  <si>
    <t xml:space="preserve">{"minRep":30}</t>
  </si>
  <si>
    <t xml:space="preserve">候診室電視在播「電療熱療只能暫時舒緩」，所有人同時看向護理師。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</si>
  <si>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改版療程：被動治療搭配運動治療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衛教說明被動治療的角色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不理會</t>
    </r>
  </si>
  <si>
    <t xml:space="preserve">nhi_upcode_temptation</t>
  </si>
  <si>
    <t xml:space="preserve">顧問的「優化」建議</t>
  </si>
  <si>
    <t xml:space="preserve">廠商顧問笑著說：「簡單改成中度，多加一項而已，沒人看啦。」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</si>
  <si>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婉拒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只做有實際執行的合理調整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大幅優化</t>
    </r>
  </si>
  <si>
    <t xml:space="preserve">nhi_rule_update</t>
  </si>
  <si>
    <t xml:space="preserve">審查注意事項改版</t>
  </si>
  <si>
    <r>
      <rPr>
        <sz val="10"/>
        <rFont val="WenQuanYi Zen Hei"/>
        <family val="2"/>
      </rPr>
      <t xml:space="preserve">新規定共 </t>
    </r>
    <r>
      <rPr>
        <sz val="10"/>
        <rFont val="Arial"/>
        <family val="0"/>
        <charset val="1"/>
      </rPr>
      <t xml:space="preserve">37 </t>
    </r>
    <r>
      <rPr>
        <sz val="10"/>
        <rFont val="WenQuanYi Zen Hei"/>
        <family val="2"/>
      </rPr>
      <t xml:space="preserve">頁，其中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頁真的重要，但沒人知道是哪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頁。</t>
    </r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</si>
  <si>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辦內部讀書會，一人認養一章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交給行政自己看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加入公會與同業社群討論</t>
    </r>
  </si>
  <si>
    <t xml:space="preserve">cert_traffic</t>
  </si>
  <si>
    <t xml:space="preserve">車禍診斷證明想寫「更嚴重」</t>
  </si>
  <si>
    <t xml:space="preserve">病患與溝通</t>
  </si>
  <si>
    <t xml:space="preserve">車禍的先生說：「醫生，證明寫嚴重一點，對方保險才會賠。」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</si>
  <si>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依病歷如實開立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如實開立，附說明可日後補驗傷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稍微寫重一點</t>
    </r>
  </si>
  <si>
    <t xml:space="preserve">cert_labor_injury</t>
  </si>
  <si>
    <t xml:space="preserve">職災傷病給付的蓋章接力</t>
  </si>
  <si>
    <t xml:space="preserve">病人拿著一疊申請書：「老闆說要找醫生蓋，醫生說要找老闆蓋。」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</si>
  <si>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協助釐清流程，開診斷書並附說明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只開診斷書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建議轉職業醫學專科</t>
    </r>
  </si>
  <si>
    <t xml:space="preserve">cert_diag_wording</t>
  </si>
  <si>
    <t xml:space="preserve">保險公司說病名不一樣</t>
  </si>
  <si>
    <t xml:space="preserve">保險業務傳來訊息：「診斷書上的病名跟保單差一個字。」那一個字是病人的整個週末。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</si>
  <si>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逐字對照、加註、重新開立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請病人自己跟保險公司說明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開診所制式說明單</t>
    </r>
  </si>
  <si>
    <t xml:space="preserve">folk_regret</t>
  </si>
  <si>
    <t xml:space="preserve">推拿後手麻來求診</t>
  </si>
  <si>
    <t xml:space="preserve">病人說：「師傅說喬一下就好，結果現在手麻到連手機都拿不穩。」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</si>
  <si>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完整評估，必要時轉骨科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順勢宣導「民俗調理不是醫療」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簡單處理後收診</t>
    </r>
  </si>
  <si>
    <t xml:space="preserve">chiro_request</t>
  </si>
  <si>
    <t xml:space="preserve">「幫我喬一下就好」</t>
  </si>
  <si>
    <t xml:space="preserve">病人躺上治療床，手比著脖子：「醫生，直接給我來一下『喀』就好。」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</si>
  <si>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評估後只做安全的徒手與鬆動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婉拒並說明禁忌與風險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介紹合法管道，附衛教卡</t>
    </r>
  </si>
  <si>
    <t xml:space="preserve">acupuncture_confuse</t>
  </si>
  <si>
    <t xml:space="preserve">「復健科有針灸嗎？健保付嗎？」</t>
  </si>
  <si>
    <t xml:space="preserve">{"hasStaff":{"doctor":1}}</t>
  </si>
  <si>
    <t xml:space="preserve">阿嬤問：「你們有針灸嗎？我鄰居說健保有給付。」鄰居永遠是消息來源。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</si>
  <si>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清楚說明自費，或轉介中醫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提供自費針灸（醫師已受訓）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說「看看再說」</t>
    </r>
  </si>
  <si>
    <t xml:space="preserve">shockwave_price</t>
  </si>
  <si>
    <t xml:space="preserve">震波比隔壁貴</t>
  </si>
  <si>
    <t xml:space="preserve">{"hasObject":["shockwave","shockwave_room"]}</t>
  </si>
  <si>
    <t xml:space="preserve">病人拿出手機：「隔壁便宜五百，你們為什麼比較貴？」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</si>
  <si>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公開價目與適應症說明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打折留客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推十堂套餐</t>
    </r>
  </si>
  <si>
    <t xml:space="preserve">prp_claim_denied</t>
  </si>
  <si>
    <r>
      <rPr>
        <sz val="10"/>
        <rFont val="Arial"/>
        <family val="0"/>
        <charset val="1"/>
      </rPr>
      <t xml:space="preserve">PRP </t>
    </r>
    <r>
      <rPr>
        <sz val="10"/>
        <rFont val="WenQuanYi Zen Hei"/>
        <family val="2"/>
      </rPr>
      <t xml:space="preserve">實支險被拒賠</t>
    </r>
  </si>
  <si>
    <t xml:space="preserve">病人說：「打了好幾針，保險說不賠，是你們的診斷書沒寫對嗎？」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</si>
  <si>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如實開立，並提醒事前確認保單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幫忙修辭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暫停推廣 </t>
    </r>
    <r>
      <rPr>
        <sz val="10"/>
        <rFont val="Arial"/>
        <family val="0"/>
        <charset val="1"/>
      </rPr>
      <t xml:space="preserve">PRP</t>
    </r>
    <r>
      <rPr>
        <sz val="10"/>
        <rFont val="WenQuanYi Zen Hei"/>
        <family val="2"/>
      </rPr>
      <t xml:space="preserve">，改教運動</t>
    </r>
  </si>
  <si>
    <t xml:space="preserve">laser_hype</t>
  </si>
  <si>
    <t xml:space="preserve">廠商文宣：功率差一千倍</t>
  </si>
  <si>
    <t xml:space="preserve">{"hasObject":["laser_room"]}</t>
  </si>
  <si>
    <t xml:space="preserve">業務送來看板：「功率差一千倍！」看板很閃，法規有點暗。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</si>
  <si>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原文貼出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自己改成保守說明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不貼</t>
    </r>
  </si>
  <si>
    <t xml:space="preserve">ir_lamp_burn</t>
  </si>
  <si>
    <t xml:space="preserve">紅外線燈燙傷</t>
  </si>
  <si>
    <t xml:space="preserve">{"hasObject":["ir_lamp"]}</t>
  </si>
  <si>
    <t xml:space="preserve">阿嬤睡著了，燈沒睡，背上多了一塊紅紅的圓。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</si>
  <si>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冷敷、評估、全額負責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道歉並重訂燈距與計時 </t>
    </r>
    <r>
      <rPr>
        <sz val="10"/>
        <rFont val="Arial"/>
        <family val="0"/>
        <charset val="1"/>
      </rPr>
      <t xml:space="preserve">SOP
3. </t>
    </r>
    <r>
      <rPr>
        <sz val="10"/>
        <rFont val="WenQuanYi Zen Hei"/>
        <family val="2"/>
      </rPr>
      <t xml:space="preserve">說是病人自己動了</t>
    </r>
  </si>
  <si>
    <t xml:space="preserve">tens_contraindication</t>
  </si>
  <si>
    <t xml:space="preserve">電療貼片與心律調節器</t>
  </si>
  <si>
    <t xml:space="preserve">{"hasObject":["tens"]}</t>
  </si>
  <si>
    <t xml:space="preserve">護理師正要貼片，阿伯無意間說：「我胸口裡有個鐵盒子。」全場安靜。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</si>
  <si>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立刻停止，轉診評估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補強問診單與勾選欄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淡化處理</t>
    </r>
  </si>
  <si>
    <t xml:space="preserve">queue_cutting</t>
  </si>
  <si>
    <t xml:space="preserve">插隊的病人</t>
  </si>
  <si>
    <t xml:space="preserve">有位先生說「我只做五分鐘」，結果整個下午都在做。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</si>
  <si>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護理師出面溫和勸導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睜一隻眼閉一隻眼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導入叫號系統</t>
    </r>
  </si>
  <si>
    <t xml:space="preserve">dispute_mediation</t>
  </si>
  <si>
    <t xml:space="preserve">醫療爭議調解通知</t>
  </si>
  <si>
    <t xml:space="preserve">{"flag":"injury"}</t>
  </si>
  <si>
    <t xml:space="preserve">調解會來函，信封比醫師的聽診器還重。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</si>
  <si>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依規定做關懷、說明、出席調解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聘律師強硬應對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私下和解</t>
    </r>
  </si>
  <si>
    <t xml:space="preserve">flu_mask_policy</t>
  </si>
  <si>
    <t xml:space="preserve">流感季口罩規定</t>
  </si>
  <si>
    <t xml:space="preserve">{"months":[12,1,2]}</t>
  </si>
  <si>
    <t xml:space="preserve">外面咳嗽聲此起彼落，候診室像交響樂團暖身。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</si>
  <si>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嚴格要求戴口罩，並發放口罩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張貼告示、勸導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不處理</t>
    </r>
  </si>
  <si>
    <t xml:space="preserve">ltc_aid_inquiry</t>
  </si>
  <si>
    <t xml:space="preserve">長照輔具怎麼申請</t>
  </si>
  <si>
    <t xml:space="preserve">{"policy":"ltc"}</t>
  </si>
  <si>
    <t xml:space="preserve">家屬拿著一疊文件：「聽說可以補助浴室扶手，你們知道怎麼申請嗎？」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</si>
  <si>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設立諮詢窗口，印簡單流程卡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發傳單，轉介長照專線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說這不是我們的事</t>
    </r>
  </si>
  <si>
    <t xml:space="preserve">caregiver_translation</t>
  </si>
  <si>
    <t xml:space="preserve">看護代聽，回家變不同版本</t>
  </si>
  <si>
    <t xml:space="preserve">阿嬤說「醫生說要做運動」，看護聽成「醫生說要睡覺」，阿嬤很滿意。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</si>
  <si>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製作圖卡與簡單的多語影片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請家屬一起來聽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找志工翻譯</t>
    </r>
  </si>
  <si>
    <t xml:space="preserve">tens_flaky</t>
  </si>
  <si>
    <t xml:space="preserve">電療儀輸出忽大忽小</t>
  </si>
  <si>
    <r>
      <rPr>
        <sz val="10"/>
        <rFont val="WenQuanYi Zen Hei"/>
        <family val="2"/>
      </rPr>
      <t xml:space="preserve">調查擴充 </t>
    </r>
    <r>
      <rPr>
        <sz val="10"/>
        <rFont val="Arial"/>
        <family val="0"/>
        <charset val="1"/>
      </rPr>
      <t xml:space="preserve">C/D</t>
    </r>
  </si>
  <si>
    <t xml:space="preserve">診所營運</t>
  </si>
  <si>
    <t xml:space="preserve">{"wearAtLeast":{"defId":"tens","n":70}}</t>
  </si>
  <si>
    <t xml:space="preserve">電療儀「滴」了一聲，數字自己跳。護理師：「它今天心情不好。」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</si>
  <si>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叫師傅來修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自己換電極與線材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繼續用，還能動就好</t>
    </r>
  </si>
  <si>
    <t xml:space="preserve">us_calibration</t>
  </si>
  <si>
    <t xml:space="preserve">超音波治療儀年度校正</t>
  </si>
  <si>
    <t xml:space="preserve">{"hasObject":["us_room"]}</t>
  </si>
  <si>
    <t xml:space="preserve">廠商提醒：「去年校正的功率，今年要確認一下喔。」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</si>
  <si>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送去校正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延後，先用著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乾脆換新機</t>
    </r>
  </si>
  <si>
    <t xml:space="preserve">heatbox_thermostat</t>
  </si>
  <si>
    <t xml:space="preserve">熱敷包恆溫器失靈</t>
  </si>
  <si>
    <t xml:space="preserve">{"wearAtLeast":{"defId":"heatbox","n":60}}</t>
  </si>
  <si>
    <t xml:space="preserve">熱敷箱溫度跑到「麻辣鍋」等級，護理師用手背試了一下，立刻縮手。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</si>
  <si>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立刻停用，換恆溫器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調低設定值先用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放著不管</t>
    </r>
  </si>
  <si>
    <t xml:space="preserve">traction_noise</t>
  </si>
  <si>
    <t xml:space="preserve">牽引機馬達異音</t>
  </si>
  <si>
    <t xml:space="preserve">{"wearAtLeast":{"defId":"traction","n":60}}</t>
  </si>
  <si>
    <t xml:space="preserve">牽引機每拉一次就「嘎——」一聲，病人說：「這聲音我也想叫。」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</si>
  <si>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簽年度保養合約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臨時叫修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不理會</t>
    </r>
  </si>
  <si>
    <t xml:space="preserve">card_reader_down</t>
  </si>
  <si>
    <t xml:space="preserve">讀卡機與雲端模組異常</t>
  </si>
  <si>
    <t xml:space="preserve">健保卡一插進去螢幕轉圈圈，阿伯的血壓跟著轉圈圈。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</si>
  <si>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先看診，事後補卡登錄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先收自費，事後退費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請病人改天再來</t>
    </r>
  </si>
  <si>
    <t xml:space="preserve">pt_resign</t>
  </si>
  <si>
    <t xml:space="preserve">治療師遞出辭呈</t>
  </si>
  <si>
    <t xml:space="preserve">{"hasStaff":{"pt":1},"moraleBelow":40}</t>
  </si>
  <si>
    <t xml:space="preserve">小林治療師把辭呈放在排班表上：「我想去睡到自然醒。」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</si>
  <si>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談加薪，順便調排班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放行，公開徵才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找派遣補位</t>
    </r>
  </si>
  <si>
    <t xml:space="preserve">license_renew</t>
  </si>
  <si>
    <t xml:space="preserve">執業登記與繼續教育積分</t>
  </si>
  <si>
    <t xml:space="preserve">{"months":[11,12]}</t>
  </si>
  <si>
    <r>
      <rPr>
        <sz val="10"/>
        <rFont val="WenQuanYi Zen Hei"/>
        <family val="2"/>
      </rPr>
      <t xml:space="preserve">護理師發現自己積分剩 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點，整個晚上在找哪個線上課程不用簽到。</t>
    </r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</si>
  <si>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補助上課與請假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自己想辦法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拖著，年底再說</t>
    </r>
  </si>
  <si>
    <t xml:space="preserve">overtime_crunch</t>
  </si>
  <si>
    <t xml:space="preserve">連假前後人力不足</t>
  </si>
  <si>
    <t xml:space="preserve">連假前一天，排班表有三個人的名字，現場需要五個人。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</si>
  <si>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發加班費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補休，下週少開診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硬撐</t>
    </r>
  </si>
  <si>
    <t xml:space="preserve">rent_hike</t>
  </si>
  <si>
    <t xml:space="preserve">房東通知續約調漲</t>
  </si>
  <si>
    <t xml:space="preserve">房東說：「最近物價漲，我也沒辦法。」語氣像漲價的是天氣。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</si>
  <si>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接受調漲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談判，簽三年約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搬遷（大工程）</t>
    </r>
  </si>
  <si>
    <t xml:space="preserve">infection_control_audit</t>
  </si>
  <si>
    <t xml:space="preserve">衛生局無預警督導</t>
  </si>
  <si>
    <t xml:space="preserve">兩位穿制服的人突然出現：「請問你們的洗手液放哪裡？」櫃檯：「在……在那裡！」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</si>
  <si>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立即整改，做自評表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依缺失限期改善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辯解</t>
    </r>
  </si>
  <si>
    <t xml:space="preserve">fire_safety_check</t>
  </si>
  <si>
    <t xml:space="preserve">消防安檢</t>
  </si>
  <si>
    <t xml:space="preserve">{"minLot":2}</t>
  </si>
  <si>
    <t xml:space="preserve">消防員指著走道上的輪椅與輔具：「這裡是逃生路線，請問為什麼有一隊輪椅？」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</si>
  <si>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整理走道，補滅火器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只把輪椅移到角落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看看再說</t>
    </r>
  </si>
  <si>
    <t xml:space="preserve">record_request</t>
  </si>
  <si>
    <t xml:space="preserve">家屬要複製病歷</t>
  </si>
  <si>
    <t xml:space="preserve">家屬一次要求過去三年的病歷，附帶一句：「我只是看看。」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</si>
  <si>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當日提供，依規定收工本費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核對身分與授權，需一兩天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拒絕</t>
    </r>
  </si>
  <si>
    <t xml:space="preserve">google_review_war</t>
  </si>
  <si>
    <t xml:space="preserve">一顆星的評論</t>
  </si>
  <si>
    <t xml:space="preserve">{"minRep":20}</t>
  </si>
  <si>
    <t xml:space="preserve">有人留言：「治療三分鐘，等了兩小時。」下面已經有十七個人按讚。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</si>
  <si>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禮貌回覆，不透露病情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針鋒相對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請朋友寫好評</t>
    </r>
  </si>
  <si>
    <t xml:space="preserve">video_ad_flag</t>
  </si>
  <si>
    <t xml:space="preserve">衛教影片被檢舉為廣告</t>
  </si>
  <si>
    <t xml:space="preserve">留言區有人寫：「這是廣告吧？」另一個人回：「這是衛教。」他們吵了五十則。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</si>
  <si>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改成純衛教，不放診所名稱與價格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繼續發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找行銷公司優化</t>
    </r>
  </si>
  <si>
    <t xml:space="preserve">referral_hospital</t>
  </si>
  <si>
    <t xml:space="preserve">醫學中心術後轉回復健</t>
  </si>
  <si>
    <t xml:space="preserve">醫學中心社工來問：「術後病人想就近復健，你們可以接嗎？」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</si>
  <si>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簽合作，指定窗口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個案接收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不接</t>
    </r>
  </si>
  <si>
    <t xml:space="preserve">pharmacy_partner</t>
  </si>
  <si>
    <t xml:space="preserve">在地藥局合作</t>
  </si>
  <si>
    <t xml:space="preserve">藥局老闆說：「你們把藥單交給我，我幫你們提醒病人吃藥。」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</si>
  <si>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簽簡單合作，各自合規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拒絕，避免瓜田李下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簽高比例回饋</t>
    </r>
  </si>
  <si>
    <t xml:space="preserve">cold_stroke_signs</t>
  </si>
  <si>
    <t xml:space="preserve">寒流中風警訊</t>
  </si>
  <si>
    <t xml:space="preserve">季節與在地</t>
  </si>
  <si>
    <t xml:space="preserve">{"weather":["cold"]}</t>
  </si>
  <si>
    <t xml:space="preserve">阿伯說：「我只是肩頸痠，有點頭暈。」血壓計顯示的是另一個故事。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</si>
  <si>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量血壓，立刻轉診急診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照常熱敷觀察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請他回家休息</t>
    </r>
  </si>
  <si>
    <t xml:space="preserve">cold_joint_surge</t>
  </si>
  <si>
    <t xml:space="preserve">寒流關節痛爆量</t>
  </si>
  <si>
    <t xml:space="preserve">候診區滿座，熱敷箱不夠，阿嬤們開始互相讓位。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</si>
  <si>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加開早診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發號碼牌限量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租借熱敷設備</t>
    </r>
  </si>
  <si>
    <t xml:space="preserve">plum_rain_floor</t>
  </si>
  <si>
    <t xml:space="preserve">梅雨季地板濕滑</t>
  </si>
  <si>
    <t xml:space="preserve">{"weatherId":"plumrain"}</t>
  </si>
  <si>
    <t xml:space="preserve">玄關像溜冰場，雨傘滴出一條小河。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</si>
  <si>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放防滑地墊與傘套機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派人拖地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不處理</t>
    </r>
  </si>
  <si>
    <t xml:space="preserve">typhoon_aftermath</t>
  </si>
  <si>
    <t xml:space="preserve">颱風假隔天補診潮</t>
  </si>
  <si>
    <t xml:space="preserve">{"months":[7,8,9,10],"weather":["sunny","cloudy","rain"]}</t>
  </si>
  <si>
    <t xml:space="preserve">颱風假結束，大家同時想起自己的腰。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</si>
  <si>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全員到班，加開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照常開診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限額預約</t>
    </r>
  </si>
  <si>
    <t xml:space="preserve">cny_back_strain</t>
  </si>
  <si>
    <t xml:space="preserve">年前大掃除閃到腰</t>
  </si>
  <si>
    <t xml:space="preserve">{"months":[1,2]}</t>
  </si>
  <si>
    <t xml:space="preserve">病人說：「我只是擦了一下窗戶。」那是整棟樓的窗戶。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</si>
  <si>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設「閃腰急診號」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一般排隊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辦衛教攤位</t>
    </r>
  </si>
  <si>
    <t xml:space="preserve">cny_closing</t>
  </si>
  <si>
    <t xml:space="preserve">春節休診前後</t>
  </si>
  <si>
    <t xml:space="preserve">全員都想休，病人也想在年前把痛處理掉。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</si>
  <si>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初二初三開半天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全休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輪班</t>
    </r>
  </si>
  <si>
    <t xml:space="preserve">scoliosis_followup</t>
  </si>
  <si>
    <t xml:space="preserve">側彎篩檢陽性轉診</t>
  </si>
  <si>
    <t xml:space="preserve">{"months":[9,10,3]}</t>
  </si>
  <si>
    <t xml:space="preserve">家長拿著學校單子：「他們說可能有問題，可是他看起來很正常啊。」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</si>
  <si>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設兒童脊椎專案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發衛教單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不處理</t>
    </r>
  </si>
  <si>
    <t xml:space="preserve">summer_sports</t>
  </si>
  <si>
    <t xml:space="preserve">暑假運動傷害</t>
  </si>
  <si>
    <t xml:space="preserve">{"months":[7,8]}</t>
  </si>
  <si>
    <t xml:space="preserve">暑假的孩子們用腳踝證明自己跳得很高。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</si>
  <si>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暑期運動傷害專案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與校隊簽約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一般門診</t>
    </r>
  </si>
  <si>
    <t xml:space="preserve">marathon_season</t>
  </si>
  <si>
    <t xml:space="preserve">馬拉松季</t>
  </si>
  <si>
    <t xml:space="preserve">{"months":[10,11,12,3]}</t>
  </si>
  <si>
    <t xml:space="preserve">馬拉松前一週，診所擠滿來「臨時抱佛腳」的跑者。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</si>
  <si>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賽前貼紮攤位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賽後恢復套餐（自費）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不參與</t>
    </r>
  </si>
  <si>
    <t xml:space="preserve">temple_procession</t>
  </si>
  <si>
    <t xml:space="preserve">遶境進香</t>
  </si>
  <si>
    <t xml:space="preserve">{"months":[3,4]}</t>
  </si>
  <si>
    <t xml:space="preserve">阿嬤們說：「我們要去走一整個禮拜！」你擔心的是她們的膝蓋，她們擔心的是遲到。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</si>
  <si>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派人去醫療站支援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行前辦腳底與步態檢查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事後回診接收</t>
    </r>
  </si>
  <si>
    <t xml:space="preserve">elder_day_gift</t>
  </si>
  <si>
    <t xml:space="preserve">母親節與重陽敬老</t>
  </si>
  <si>
    <t xml:space="preserve">{"months":[5,10]}</t>
  </si>
  <si>
    <t xml:space="preserve">護理師提議：「來辦個敬老活動吧！」同時有人說：「不能亂送東西喔。」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</si>
  <si>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送熱敷小禮，附衛教卡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辦免費測量活動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不辦</t>
    </r>
  </si>
  <si>
    <t xml:space="preserve">yearend_office_crunch</t>
  </si>
  <si>
    <t xml:space="preserve">年終加班的肩頸</t>
  </si>
  <si>
    <t xml:space="preserve">上班族說：「年終前不能請假，我的脖子可以請假嗎？」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</si>
  <si>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辦企業到點衛教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午休線上衛教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不辦</t>
    </r>
  </si>
  <si>
    <t xml:space="preserve">觸發情境</t>
  </si>
  <si>
    <t xml:space="preserve">painkiller_elder</t>
  </si>
  <si>
    <t xml:space="preserve">「直接開止痛藥就好啦」</t>
  </si>
  <si>
    <t xml:space="preserve">painkiller</t>
  </si>
  <si>
    <t xml:space="preserve">阿伯揉著膝蓋說：「醫生啊，不要囉嗦那麼多，你直接開止痛藥給我就好啦。」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</si>
  <si>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好，先開止痛藥給你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先評估，再一起決定療程</t>
    </r>
  </si>
  <si>
    <t xml:space="preserve">painkiller_office</t>
  </si>
  <si>
    <t xml:space="preserve">「醫生，上班好忙，給我止痛藥啦」</t>
  </si>
  <si>
    <t xml:space="preserve">上班族一臉疲憊：「醫生，我今天還要開會，你就給我一顆止痛藥，拜託。」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</si>
  <si>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開藥，但也排個熱敷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告訴他止痛藥不能亂吃</t>
    </r>
  </si>
  <si>
    <t xml:space="preserve">painkiller_sports</t>
  </si>
  <si>
    <t xml:space="preserve">「明天要比賽，打一針止痛針」</t>
  </si>
  <si>
    <t xml:space="preserve">業餘選手的眼神很堅定：「醫生，明天就是大賽，你給我打一針，我不怕痛。」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</si>
  <si>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不行，先評估傷勢再說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打！他說不怕就讓他打</t>
    </r>
  </si>
  <si>
    <t xml:space="preserve">skip_doctor_elder</t>
  </si>
  <si>
    <t xml:space="preserve">「我只要電療，不要看醫生」</t>
  </si>
  <si>
    <t xml:space="preserve">skip_doctor</t>
  </si>
  <si>
    <t xml:space="preserve">阿嬤一進門就說：「我只要去躺電療，醫生就不用看啦，很麻煩耶。」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</si>
  <si>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依規定，先看醫生再做電療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同意，但病歷上註記清楚</t>
    </r>
  </si>
  <si>
    <t xml:space="preserve">skip_doctor_office</t>
  </si>
  <si>
    <t xml:space="preserve">「只想做震波，時間很趕」</t>
  </si>
  <si>
    <t xml:space="preserve">上班族看了看手錶：「醫生，我不想看醫生了，我直接做震波就好，我只有半小時。」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</si>
  <si>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震波可以做，但要先過一下評估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收自費，直接排震波</t>
    </r>
  </si>
  <si>
    <t xml:space="preserve">overtreat_elder</t>
  </si>
  <si>
    <t xml:space="preserve">「醫生，我想每天來做八次熱敷」</t>
  </si>
  <si>
    <t xml:space="preserve">overtreat</t>
  </si>
  <si>
    <t xml:space="preserve">阿伯很認真地問：「每天做八次熱敷，會不會比較快好？我可以每天都來吧？」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</si>
  <si>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依病情調整頻率，每週幾次就好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好，每天做，收費照算</t>
    </r>
  </si>
  <si>
    <t xml:space="preserve">overtreat_self</t>
  </si>
  <si>
    <t xml:space="preserve">「我想一次買十堂震波課程」</t>
  </si>
  <si>
    <t xml:space="preserve">老闆一拍桌：「醫生，我想一次買十堂震波，有沒有折扣？我全部都要！」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</si>
  <si>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依病情建議三堂就夠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給他十堂，收錢收到手軟</t>
    </r>
  </si>
  <si>
    <t xml:space="preserve">overtreat_kid</t>
  </si>
  <si>
    <t xml:space="preserve">「我家小孩每天都要來感統」</t>
  </si>
  <si>
    <t xml:space="preserve">家長很堅持：「我家小孩每天都要來做感統，他很愛玩球池，你可以排滿一點吧？」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</si>
  <si>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依發展評估，一週兩到三次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每天排滿，收費照算</t>
    </r>
  </si>
  <si>
    <t xml:space="preserve">complain_wait</t>
  </si>
  <si>
    <t xml:space="preserve">「等了一個半小時，你們怎麼排的！」</t>
  </si>
  <si>
    <t xml:space="preserve">complain</t>
  </si>
  <si>
    <t xml:space="preserve">阿姨拍著掛號櫃檯大喊：「我一個半小時了耶！你們到底是怎麼排班的啦！」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</si>
  <si>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真誠道歉，免費加送一次熱敷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解釋今天很忙，請她耐心等</t>
    </r>
  </si>
  <si>
    <t xml:space="preserve">complain_price</t>
  </si>
  <si>
    <t xml:space="preserve">「為什麼要自費？健保不能做嗎？」</t>
  </si>
  <si>
    <t xml:space="preserve">阿伯看著自費單，眉頭皺成一團：「醫生，健保不能做嗎？為什麼要我自己付錢？」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</si>
  <si>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說明健保與自費差異，附上書面說明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直接說健保沒有這項
</t>
    </r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這次先不收費，給個人情</t>
    </r>
  </si>
  <si>
    <t xml:space="preserve">complain_noisy</t>
  </si>
  <si>
    <t xml:space="preserve">「電療機器嗡嗡叫，我頭很痛」</t>
  </si>
  <si>
    <t xml:space="preserve">阿嬤躺在電療床上皺眉：「醫生，這台機器一直嗡嗡叫，我頭好痛，是不是壞了？」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</si>
  <si>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換一台新機器，給她看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請她忍耐一下，治療很快就好</t>
    </r>
  </si>
  <si>
    <t xml:space="preserve">complain_staff</t>
  </si>
  <si>
    <t xml:space="preserve">「你們護理師態度很差！」</t>
  </si>
  <si>
    <t xml:space="preserve">一位病人投訴護理師講話太大聲，還說「你們是在趕人嗎？」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</si>
  <si>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調查後處理，當面道歉
</t>
    </r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護理師沒有錯，請病人多包涵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</si>
</sst>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5C57"/>
      <name val="WenQuanYi Zen Hei"/>
      <family val="2"/>
    </font>
    <font>
      <i val="true"/>
      <sz val="10"/>
      <color rgb="FF555555"/>
      <name val="WenQuanYi Zen Hei"/>
      <family val="2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1"/>
      <color rgb="FF1D5C57"/>
      <name val="WenQuanYi Zen Hei"/>
      <family val="2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5C57"/>
        <bgColor rgb="FF555555"/>
      </patternFill>
    </fill>
    <fill>
      <patternFill patternType="solid">
        <fgColor rgb="FFF3F8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D5C57"/>
          <bgColor rgb="FF000000"/>
        </patternFill>
      </fill>
    </dxf>
    <dxf>
      <fill>
        <patternFill patternType="solid">
          <fgColor rgb="FFF3F8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5C57"/>
      <rgbColor rgb="FFC0C0C0"/>
      <rgbColor rgb="FF808080"/>
      <rgbColor rgb="FF9999FF"/>
      <rgbColor rgb="FF993366"/>
      <rgbColor rgb="FFF3F8F7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COUNTA(建造物!A2:A200)</f>
        <v>29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f aca="false">COUNTIF(建造物!C2:C200,"環境")</f>
        <v>8</v>
      </c>
      <c r="C6" s="4" t="s">
        <v>6</v>
      </c>
    </row>
    <row r="7" customFormat="false" ht="15" hidden="false" customHeight="false" outlineLevel="0" collapsed="false">
      <c r="A7" s="4" t="s">
        <v>8</v>
      </c>
      <c r="B7" s="5" t="n">
        <f aca="false">COUNTIF(建造物!C2:C200,"設施")</f>
        <v>16</v>
      </c>
      <c r="C7" s="4" t="s">
        <v>6</v>
      </c>
    </row>
    <row r="8" customFormat="false" ht="15" hidden="false" customHeight="false" outlineLevel="0" collapsed="false">
      <c r="A8" s="4" t="s">
        <v>9</v>
      </c>
      <c r="B8" s="5" t="n">
        <f aca="false">COUNTIF(建造物!C2:C200,"特殊")</f>
        <v>5</v>
      </c>
      <c r="C8" s="4" t="s">
        <v>6</v>
      </c>
    </row>
    <row r="9" customFormat="false" ht="15" hidden="false" customHeight="false" outlineLevel="0" collapsed="false">
      <c r="A9" s="4" t="s">
        <v>10</v>
      </c>
      <c r="B9" s="5" t="n">
        <f aca="false">COUNTA(專區組合!A2:A200)</f>
        <v>5</v>
      </c>
      <c r="C9" s="4" t="s">
        <v>10</v>
      </c>
    </row>
    <row r="10" customFormat="false" ht="15" hidden="false" customHeight="false" outlineLevel="0" collapsed="false">
      <c r="A10" s="4" t="s">
        <v>11</v>
      </c>
      <c r="B10" s="5" t="n">
        <f aca="false">COUNTA(治療項目!A2:A200)</f>
        <v>17</v>
      </c>
      <c r="C10" s="4" t="s">
        <v>12</v>
      </c>
    </row>
    <row r="11" customFormat="false" ht="15" hidden="false" customHeight="false" outlineLevel="0" collapsed="false">
      <c r="A11" s="4" t="s">
        <v>13</v>
      </c>
      <c r="B11" s="5" t="n">
        <f aca="false">COUNTIF(治療項目!C2:C200,"健保")</f>
        <v>11</v>
      </c>
      <c r="C11" s="4" t="s">
        <v>12</v>
      </c>
    </row>
    <row r="12" customFormat="false" ht="15" hidden="false" customHeight="false" outlineLevel="0" collapsed="false">
      <c r="A12" s="4" t="s">
        <v>14</v>
      </c>
      <c r="B12" s="5" t="n">
        <f aca="false">COUNTIF(治療項目!C2:C200,"自費")</f>
        <v>6</v>
      </c>
      <c r="C12" s="4" t="s">
        <v>12</v>
      </c>
    </row>
    <row r="13" customFormat="false" ht="15" hidden="false" customHeight="false" outlineLevel="0" collapsed="false">
      <c r="A13" s="4" t="s">
        <v>15</v>
      </c>
      <c r="B13" s="5" t="n">
        <f aca="false">COUNTA(病患類型!A2:A200)</f>
        <v>4</v>
      </c>
      <c r="C13" s="4" t="s">
        <v>15</v>
      </c>
    </row>
    <row r="14" customFormat="false" ht="15" hidden="false" customHeight="false" outlineLevel="0" collapsed="false">
      <c r="A14" s="4" t="s">
        <v>16</v>
      </c>
      <c r="B14" s="5" t="n">
        <f aca="false">COUNTA(員工職類!A2:A200)</f>
        <v>5</v>
      </c>
      <c r="C14" s="4" t="s">
        <v>16</v>
      </c>
    </row>
    <row r="15" customFormat="false" ht="15" hidden="false" customHeight="false" outlineLevel="0" collapsed="false">
      <c r="A15" s="4" t="s">
        <v>17</v>
      </c>
      <c r="B15" s="5" t="n">
        <f aca="false">COUNTA(員工特質!A2:A200)</f>
        <v>10</v>
      </c>
      <c r="C15" s="4" t="s">
        <v>17</v>
      </c>
    </row>
    <row r="16" customFormat="false" ht="15" hidden="false" customHeight="false" outlineLevel="0" collapsed="false">
      <c r="A16" s="4" t="s">
        <v>18</v>
      </c>
      <c r="B16" s="5" t="n">
        <f aca="false">COUNTA(店面等級!A2:A200)</f>
        <v>4</v>
      </c>
      <c r="C16" s="4" t="s">
        <v>18</v>
      </c>
    </row>
    <row r="17" customFormat="false" ht="15" hidden="false" customHeight="false" outlineLevel="0" collapsed="false">
      <c r="A17" s="4" t="s">
        <v>19</v>
      </c>
      <c r="B17" s="5" t="n">
        <f aca="false">COUNTA(天氣!A2:A200)</f>
        <v>7</v>
      </c>
      <c r="C17" s="4" t="s">
        <v>19</v>
      </c>
    </row>
    <row r="18" customFormat="false" ht="15" hidden="false" customHeight="false" outlineLevel="0" collapsed="false">
      <c r="A18" s="4" t="s">
        <v>20</v>
      </c>
      <c r="B18" s="5" t="n">
        <f aca="false">COUNTA(社區活動!A2:A200)</f>
        <v>7</v>
      </c>
      <c r="C18" s="4" t="s">
        <v>20</v>
      </c>
    </row>
    <row r="19" customFormat="false" ht="15" hidden="false" customHeight="false" outlineLevel="0" collapsed="false">
      <c r="A19" s="4" t="s">
        <v>21</v>
      </c>
      <c r="B19" s="5" t="n">
        <f aca="false">COUNTA(衛教看板!A2:A200)</f>
        <v>7</v>
      </c>
      <c r="C19" s="4" t="s">
        <v>21</v>
      </c>
    </row>
    <row r="20" customFormat="false" ht="15" hidden="false" customHeight="false" outlineLevel="0" collapsed="false">
      <c r="A20" s="4" t="s">
        <v>22</v>
      </c>
      <c r="B20" s="5" t="n">
        <f aca="false">COUNTA(研發節點!A2:A200)</f>
        <v>26</v>
      </c>
      <c r="C20" s="4" t="s">
        <v>22</v>
      </c>
    </row>
    <row r="21" customFormat="false" ht="15" hidden="false" customHeight="false" outlineLevel="0" collapsed="false">
      <c r="A21" s="4" t="s">
        <v>23</v>
      </c>
      <c r="B21" s="5" t="n">
        <f aca="false">COUNTA(成就!A2:A200)</f>
        <v>41</v>
      </c>
      <c r="C21" s="4" t="s">
        <v>23</v>
      </c>
    </row>
    <row r="22" customFormat="false" ht="15" hidden="false" customHeight="false" outlineLevel="0" collapsed="false">
      <c r="A22" s="4" t="s">
        <v>24</v>
      </c>
      <c r="B22" s="5" t="n">
        <f aca="false">COUNTA(隨機事件!A2:A300)</f>
        <v>73</v>
      </c>
      <c r="C22" s="4" t="s">
        <v>25</v>
      </c>
    </row>
    <row r="23" customFormat="false" ht="15" hidden="false" customHeight="false" outlineLevel="0" collapsed="false">
      <c r="A23" s="4" t="s">
        <v>26</v>
      </c>
      <c r="B23" s="5" t="n">
        <f aca="false">COUNTA(醫病溝通兩難!A2:A200)</f>
        <v>12</v>
      </c>
      <c r="C23" s="4" t="s">
        <v>26</v>
      </c>
    </row>
    <row r="25" customFormat="false" ht="15" hidden="false" customHeight="false" outlineLevel="0" collapsed="false">
      <c r="A25" s="6" t="s">
        <v>27</v>
      </c>
    </row>
    <row r="26" customFormat="false" ht="15" hidden="false" customHeight="false" outlineLevel="0" collapsed="false">
      <c r="A26" s="7" t="s">
        <v>28</v>
      </c>
    </row>
    <row r="27" customFormat="false" ht="15" hidden="false" customHeight="false" outlineLevel="0" collapsed="false">
      <c r="A27" s="7" t="s">
        <v>29</v>
      </c>
    </row>
    <row r="28" customFormat="false" ht="15" hidden="false" customHeight="false" outlineLevel="0" collapsed="false">
      <c r="A28" s="7" t="s">
        <v>30</v>
      </c>
    </row>
    <row r="30" customFormat="false" ht="15" hidden="false" customHeight="false" outlineLevel="0" collapsed="false">
      <c r="A30" s="6" t="s">
        <v>31</v>
      </c>
    </row>
    <row r="31" customFormat="false" ht="15" hidden="false" customHeight="false" outlineLevel="0" collapsed="false">
      <c r="A31" s="7" t="s">
        <v>32</v>
      </c>
    </row>
    <row r="32" customFormat="false" ht="15" hidden="false" customHeight="false" outlineLevel="0" collapsed="false">
      <c r="A32" s="7" t="s">
        <v>33</v>
      </c>
    </row>
    <row r="33" customFormat="false" ht="15" hidden="false" customHeight="false" outlineLevel="0" collapsed="false">
      <c r="A33" s="7" t="s">
        <v>34</v>
      </c>
    </row>
    <row r="34" customFormat="false" ht="15" hidden="false" customHeight="false" outlineLevel="0" collapsed="false">
      <c r="A34" s="7" t="s">
        <v>35</v>
      </c>
    </row>
    <row r="35" customFormat="false" ht="15" hidden="false" customHeight="false" outlineLevel="0" collapsed="false">
      <c r="A35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46"/>
  </cols>
  <sheetData>
    <row r="1" customFormat="false" ht="24" hidden="false" customHeight="true" outlineLevel="0" collapsed="false">
      <c r="A1" s="9" t="s">
        <v>37</v>
      </c>
      <c r="B1" s="10" t="s">
        <v>38</v>
      </c>
      <c r="C1" s="10" t="s">
        <v>39</v>
      </c>
      <c r="D1" s="10" t="s">
        <v>40</v>
      </c>
      <c r="E1" s="10" t="s">
        <v>41</v>
      </c>
      <c r="F1" s="10" t="s">
        <v>42</v>
      </c>
      <c r="G1" s="10" t="s">
        <v>43</v>
      </c>
      <c r="H1" s="10" t="s">
        <v>44</v>
      </c>
      <c r="I1" s="10" t="s">
        <v>45</v>
      </c>
      <c r="J1" s="10" t="s">
        <v>46</v>
      </c>
      <c r="K1" s="10" t="s">
        <v>47</v>
      </c>
      <c r="L1" s="10" t="s">
        <v>48</v>
      </c>
    </row>
    <row r="2" customFormat="false" ht="15" hidden="false" customHeight="false" outlineLevel="0" collapsed="false">
      <c r="A2" s="11" t="s">
        <v>49</v>
      </c>
      <c r="B2" s="12" t="s">
        <v>50</v>
      </c>
      <c r="C2" s="12" t="s">
        <v>51</v>
      </c>
      <c r="D2" s="12" t="s">
        <v>52</v>
      </c>
      <c r="E2" s="12" t="n">
        <v>1</v>
      </c>
      <c r="F2" s="12" t="n">
        <v>1</v>
      </c>
      <c r="G2" s="13" t="n">
        <v>250</v>
      </c>
      <c r="H2" s="13" t="n">
        <v>0</v>
      </c>
      <c r="I2" s="12" t="s">
        <v>53</v>
      </c>
      <c r="J2" s="12" t="s">
        <v>54</v>
      </c>
      <c r="K2" s="11" t="s">
        <v>55</v>
      </c>
      <c r="L2" s="14" t="s">
        <v>56</v>
      </c>
    </row>
    <row r="3" customFormat="false" ht="15" hidden="false" customHeight="false" outlineLevel="0" collapsed="false">
      <c r="A3" s="15" t="s">
        <v>57</v>
      </c>
      <c r="B3" s="16" t="s">
        <v>58</v>
      </c>
      <c r="C3" s="16" t="s">
        <v>51</v>
      </c>
      <c r="D3" s="16" t="s">
        <v>52</v>
      </c>
      <c r="E3" s="16" t="n">
        <v>1</v>
      </c>
      <c r="F3" s="16" t="n">
        <v>1</v>
      </c>
      <c r="G3" s="17" t="n">
        <v>350</v>
      </c>
      <c r="H3" s="17" t="n">
        <v>0</v>
      </c>
      <c r="I3" s="16" t="s">
        <v>53</v>
      </c>
      <c r="J3" s="16" t="s">
        <v>54</v>
      </c>
      <c r="K3" s="15" t="s">
        <v>59</v>
      </c>
      <c r="L3" s="18" t="s">
        <v>60</v>
      </c>
    </row>
    <row r="4" customFormat="false" ht="15" hidden="false" customHeight="false" outlineLevel="0" collapsed="false">
      <c r="A4" s="11" t="s">
        <v>61</v>
      </c>
      <c r="B4" s="12" t="s">
        <v>62</v>
      </c>
      <c r="C4" s="12" t="s">
        <v>51</v>
      </c>
      <c r="D4" s="12" t="s">
        <v>52</v>
      </c>
      <c r="E4" s="12" t="n">
        <v>1</v>
      </c>
      <c r="F4" s="12" t="n">
        <v>1</v>
      </c>
      <c r="G4" s="13" t="n">
        <v>500</v>
      </c>
      <c r="H4" s="13" t="n">
        <v>0</v>
      </c>
      <c r="I4" s="12" t="s">
        <v>53</v>
      </c>
      <c r="J4" s="12" t="s">
        <v>54</v>
      </c>
      <c r="K4" s="11" t="s">
        <v>63</v>
      </c>
      <c r="L4" s="14" t="s">
        <v>64</v>
      </c>
    </row>
    <row r="5" customFormat="false" ht="15" hidden="false" customHeight="false" outlineLevel="0" collapsed="false">
      <c r="A5" s="15" t="s">
        <v>65</v>
      </c>
      <c r="B5" s="16" t="s">
        <v>66</v>
      </c>
      <c r="C5" s="16" t="s">
        <v>51</v>
      </c>
      <c r="D5" s="16" t="s">
        <v>67</v>
      </c>
      <c r="E5" s="16" t="n">
        <v>2</v>
      </c>
      <c r="F5" s="16" t="n">
        <v>1</v>
      </c>
      <c r="G5" s="17" t="n">
        <v>8000</v>
      </c>
      <c r="H5" s="17" t="n">
        <v>80</v>
      </c>
      <c r="I5" s="16" t="s">
        <v>53</v>
      </c>
      <c r="J5" s="16" t="s">
        <v>68</v>
      </c>
      <c r="K5" s="15" t="s">
        <v>69</v>
      </c>
      <c r="L5" s="18" t="s">
        <v>70</v>
      </c>
    </row>
    <row r="6" customFormat="false" ht="15" hidden="false" customHeight="false" outlineLevel="0" collapsed="false">
      <c r="A6" s="11" t="s">
        <v>71</v>
      </c>
      <c r="B6" s="12" t="s">
        <v>72</v>
      </c>
      <c r="C6" s="12" t="s">
        <v>51</v>
      </c>
      <c r="D6" s="12" t="s">
        <v>67</v>
      </c>
      <c r="E6" s="12" t="n">
        <v>1</v>
      </c>
      <c r="F6" s="12" t="n">
        <v>1</v>
      </c>
      <c r="G6" s="13" t="n">
        <v>5000</v>
      </c>
      <c r="H6" s="13" t="n">
        <v>50</v>
      </c>
      <c r="I6" s="12" t="s">
        <v>53</v>
      </c>
      <c r="J6" s="12" t="s">
        <v>68</v>
      </c>
      <c r="K6" s="11" t="s">
        <v>73</v>
      </c>
      <c r="L6" s="14" t="s">
        <v>74</v>
      </c>
    </row>
    <row r="7" customFormat="false" ht="15" hidden="false" customHeight="false" outlineLevel="0" collapsed="false">
      <c r="A7" s="15" t="s">
        <v>75</v>
      </c>
      <c r="B7" s="16" t="s">
        <v>76</v>
      </c>
      <c r="C7" s="16" t="s">
        <v>51</v>
      </c>
      <c r="D7" s="16" t="s">
        <v>67</v>
      </c>
      <c r="E7" s="16" t="n">
        <v>2</v>
      </c>
      <c r="F7" s="16" t="n">
        <v>1</v>
      </c>
      <c r="G7" s="17" t="n">
        <v>25000</v>
      </c>
      <c r="H7" s="17" t="n">
        <v>250</v>
      </c>
      <c r="I7" s="16" t="s">
        <v>53</v>
      </c>
      <c r="J7" s="16" t="s">
        <v>68</v>
      </c>
      <c r="K7" s="15" t="s">
        <v>77</v>
      </c>
      <c r="L7" s="18" t="s">
        <v>78</v>
      </c>
    </row>
    <row r="8" customFormat="false" ht="15" hidden="false" customHeight="false" outlineLevel="0" collapsed="false">
      <c r="A8" s="11" t="s">
        <v>79</v>
      </c>
      <c r="B8" s="12" t="s">
        <v>80</v>
      </c>
      <c r="C8" s="12" t="s">
        <v>51</v>
      </c>
      <c r="D8" s="12" t="s">
        <v>67</v>
      </c>
      <c r="E8" s="12" t="n">
        <v>1</v>
      </c>
      <c r="F8" s="12" t="n">
        <v>1</v>
      </c>
      <c r="G8" s="13" t="n">
        <v>2000</v>
      </c>
      <c r="H8" s="13" t="n">
        <v>20</v>
      </c>
      <c r="I8" s="12" t="s">
        <v>53</v>
      </c>
      <c r="J8" s="12" t="s">
        <v>68</v>
      </c>
      <c r="K8" s="11" t="s">
        <v>81</v>
      </c>
      <c r="L8" s="14" t="s">
        <v>82</v>
      </c>
    </row>
    <row r="9" customFormat="false" ht="15" hidden="false" customHeight="false" outlineLevel="0" collapsed="false">
      <c r="A9" s="15" t="s">
        <v>83</v>
      </c>
      <c r="B9" s="16" t="s">
        <v>84</v>
      </c>
      <c r="C9" s="16" t="s">
        <v>51</v>
      </c>
      <c r="D9" s="16" t="s">
        <v>67</v>
      </c>
      <c r="E9" s="16" t="n">
        <v>1</v>
      </c>
      <c r="F9" s="16" t="n">
        <v>1</v>
      </c>
      <c r="G9" s="17" t="n">
        <v>1000</v>
      </c>
      <c r="H9" s="17" t="n">
        <v>8</v>
      </c>
      <c r="I9" s="16" t="s">
        <v>53</v>
      </c>
      <c r="J9" s="16" t="s">
        <v>54</v>
      </c>
      <c r="K9" s="15" t="s">
        <v>85</v>
      </c>
      <c r="L9" s="18" t="s">
        <v>86</v>
      </c>
    </row>
    <row r="10" customFormat="false" ht="15" hidden="false" customHeight="false" outlineLevel="0" collapsed="false">
      <c r="A10" s="11" t="s">
        <v>87</v>
      </c>
      <c r="B10" s="12" t="s">
        <v>88</v>
      </c>
      <c r="C10" s="12" t="s">
        <v>89</v>
      </c>
      <c r="D10" s="12" t="s">
        <v>90</v>
      </c>
      <c r="E10" s="12" t="n">
        <v>2</v>
      </c>
      <c r="F10" s="12" t="n">
        <v>1</v>
      </c>
      <c r="G10" s="13" t="n">
        <v>30000</v>
      </c>
      <c r="H10" s="13" t="n">
        <v>300</v>
      </c>
      <c r="I10" s="12" t="s">
        <v>53</v>
      </c>
      <c r="J10" s="12" t="s">
        <v>68</v>
      </c>
      <c r="K10" s="11" t="s">
        <v>91</v>
      </c>
      <c r="L10" s="14" t="s">
        <v>92</v>
      </c>
    </row>
    <row r="11" customFormat="false" ht="15" hidden="false" customHeight="false" outlineLevel="0" collapsed="false">
      <c r="A11" s="15" t="s">
        <v>93</v>
      </c>
      <c r="B11" s="16" t="s">
        <v>94</v>
      </c>
      <c r="C11" s="16" t="s">
        <v>89</v>
      </c>
      <c r="D11" s="16" t="s">
        <v>90</v>
      </c>
      <c r="E11" s="16" t="n">
        <v>2</v>
      </c>
      <c r="F11" s="16" t="n">
        <v>2</v>
      </c>
      <c r="G11" s="17" t="n">
        <v>120000</v>
      </c>
      <c r="H11" s="17" t="n">
        <v>1200</v>
      </c>
      <c r="I11" s="16" t="s">
        <v>53</v>
      </c>
      <c r="J11" s="16" t="s">
        <v>68</v>
      </c>
      <c r="K11" s="15" t="s">
        <v>95</v>
      </c>
      <c r="L11" s="18" t="s">
        <v>96</v>
      </c>
    </row>
    <row r="12" customFormat="false" ht="15" hidden="false" customHeight="false" outlineLevel="0" collapsed="false">
      <c r="A12" s="11" t="s">
        <v>97</v>
      </c>
      <c r="B12" s="12" t="s">
        <v>98</v>
      </c>
      <c r="C12" s="12" t="s">
        <v>89</v>
      </c>
      <c r="D12" s="12" t="s">
        <v>90</v>
      </c>
      <c r="E12" s="12" t="n">
        <v>2</v>
      </c>
      <c r="F12" s="12" t="n">
        <v>2</v>
      </c>
      <c r="G12" s="13" t="n">
        <v>250000</v>
      </c>
      <c r="H12" s="13" t="n">
        <v>2500</v>
      </c>
      <c r="I12" s="11" t="s">
        <v>99</v>
      </c>
      <c r="J12" s="12" t="s">
        <v>68</v>
      </c>
      <c r="K12" s="11" t="s">
        <v>100</v>
      </c>
      <c r="L12" s="14" t="s">
        <v>101</v>
      </c>
    </row>
    <row r="13" customFormat="false" ht="15" hidden="false" customHeight="false" outlineLevel="0" collapsed="false">
      <c r="A13" s="15" t="s">
        <v>102</v>
      </c>
      <c r="B13" s="16" t="s">
        <v>103</v>
      </c>
      <c r="C13" s="16" t="s">
        <v>89</v>
      </c>
      <c r="D13" s="16" t="s">
        <v>90</v>
      </c>
      <c r="E13" s="16" t="n">
        <v>2</v>
      </c>
      <c r="F13" s="16" t="n">
        <v>2</v>
      </c>
      <c r="G13" s="17" t="n">
        <v>60000</v>
      </c>
      <c r="H13" s="17" t="n">
        <v>600</v>
      </c>
      <c r="I13" s="16" t="s">
        <v>53</v>
      </c>
      <c r="J13" s="16" t="s">
        <v>68</v>
      </c>
      <c r="K13" s="15" t="s">
        <v>104</v>
      </c>
      <c r="L13" s="18" t="s">
        <v>105</v>
      </c>
    </row>
    <row r="14" customFormat="false" ht="15" hidden="false" customHeight="false" outlineLevel="0" collapsed="false">
      <c r="A14" s="11" t="s">
        <v>106</v>
      </c>
      <c r="B14" s="12" t="s">
        <v>107</v>
      </c>
      <c r="C14" s="12" t="s">
        <v>89</v>
      </c>
      <c r="D14" s="12" t="s">
        <v>108</v>
      </c>
      <c r="E14" s="12" t="n">
        <v>1</v>
      </c>
      <c r="F14" s="12" t="n">
        <v>1</v>
      </c>
      <c r="G14" s="13" t="n">
        <v>25000</v>
      </c>
      <c r="H14" s="13" t="n">
        <v>250</v>
      </c>
      <c r="I14" s="12" t="s">
        <v>53</v>
      </c>
      <c r="J14" s="12" t="s">
        <v>68</v>
      </c>
      <c r="K14" s="11" t="s">
        <v>109</v>
      </c>
      <c r="L14" s="14" t="s">
        <v>110</v>
      </c>
    </row>
    <row r="15" customFormat="false" ht="15" hidden="false" customHeight="false" outlineLevel="0" collapsed="false">
      <c r="A15" s="15" t="s">
        <v>111</v>
      </c>
      <c r="B15" s="16" t="s">
        <v>112</v>
      </c>
      <c r="C15" s="16" t="s">
        <v>89</v>
      </c>
      <c r="D15" s="16" t="s">
        <v>108</v>
      </c>
      <c r="E15" s="16" t="n">
        <v>1</v>
      </c>
      <c r="F15" s="16" t="n">
        <v>1</v>
      </c>
      <c r="G15" s="17" t="n">
        <v>40000</v>
      </c>
      <c r="H15" s="17" t="n">
        <v>400</v>
      </c>
      <c r="I15" s="16" t="s">
        <v>53</v>
      </c>
      <c r="J15" s="16" t="s">
        <v>68</v>
      </c>
      <c r="K15" s="15" t="s">
        <v>113</v>
      </c>
      <c r="L15" s="18" t="s">
        <v>114</v>
      </c>
    </row>
    <row r="16" customFormat="false" ht="15" hidden="false" customHeight="false" outlineLevel="0" collapsed="false">
      <c r="A16" s="11" t="s">
        <v>115</v>
      </c>
      <c r="B16" s="12" t="s">
        <v>116</v>
      </c>
      <c r="C16" s="12" t="s">
        <v>89</v>
      </c>
      <c r="D16" s="12" t="s">
        <v>108</v>
      </c>
      <c r="E16" s="12" t="n">
        <v>1</v>
      </c>
      <c r="F16" s="12" t="n">
        <v>2</v>
      </c>
      <c r="G16" s="13" t="n">
        <v>80000</v>
      </c>
      <c r="H16" s="13" t="n">
        <v>800</v>
      </c>
      <c r="I16" s="12" t="s">
        <v>53</v>
      </c>
      <c r="J16" s="12" t="s">
        <v>68</v>
      </c>
      <c r="K16" s="11" t="s">
        <v>117</v>
      </c>
      <c r="L16" s="14" t="s">
        <v>118</v>
      </c>
    </row>
    <row r="17" customFormat="false" ht="15" hidden="false" customHeight="false" outlineLevel="0" collapsed="false">
      <c r="A17" s="15" t="s">
        <v>119</v>
      </c>
      <c r="B17" s="16" t="s">
        <v>120</v>
      </c>
      <c r="C17" s="16" t="s">
        <v>89</v>
      </c>
      <c r="D17" s="16" t="s">
        <v>108</v>
      </c>
      <c r="E17" s="16" t="n">
        <v>1</v>
      </c>
      <c r="F17" s="16" t="n">
        <v>1</v>
      </c>
      <c r="G17" s="17" t="n">
        <v>20000</v>
      </c>
      <c r="H17" s="17" t="n">
        <v>200</v>
      </c>
      <c r="I17" s="16" t="s">
        <v>53</v>
      </c>
      <c r="J17" s="16" t="s">
        <v>68</v>
      </c>
      <c r="K17" s="15" t="s">
        <v>121</v>
      </c>
      <c r="L17" s="18" t="s">
        <v>122</v>
      </c>
    </row>
    <row r="18" customFormat="false" ht="15" hidden="false" customHeight="false" outlineLevel="0" collapsed="false">
      <c r="A18" s="11" t="s">
        <v>123</v>
      </c>
      <c r="B18" s="12" t="s">
        <v>124</v>
      </c>
      <c r="C18" s="12" t="s">
        <v>89</v>
      </c>
      <c r="D18" s="12" t="s">
        <v>108</v>
      </c>
      <c r="E18" s="12" t="n">
        <v>1</v>
      </c>
      <c r="F18" s="12" t="n">
        <v>2</v>
      </c>
      <c r="G18" s="13" t="n">
        <v>30000</v>
      </c>
      <c r="H18" s="13" t="n">
        <v>300</v>
      </c>
      <c r="I18" s="12" t="s">
        <v>53</v>
      </c>
      <c r="J18" s="12" t="s">
        <v>68</v>
      </c>
      <c r="K18" s="11" t="s">
        <v>125</v>
      </c>
      <c r="L18" s="14" t="s">
        <v>126</v>
      </c>
    </row>
    <row r="19" customFormat="false" ht="15" hidden="false" customHeight="false" outlineLevel="0" collapsed="false">
      <c r="A19" s="15" t="s">
        <v>127</v>
      </c>
      <c r="B19" s="16" t="s">
        <v>128</v>
      </c>
      <c r="C19" s="16" t="s">
        <v>89</v>
      </c>
      <c r="D19" s="16" t="s">
        <v>129</v>
      </c>
      <c r="E19" s="16" t="n">
        <v>2</v>
      </c>
      <c r="F19" s="16" t="n">
        <v>2</v>
      </c>
      <c r="G19" s="17" t="n">
        <v>150000</v>
      </c>
      <c r="H19" s="17" t="n">
        <v>1500</v>
      </c>
      <c r="I19" s="15" t="s">
        <v>130</v>
      </c>
      <c r="J19" s="16" t="s">
        <v>68</v>
      </c>
      <c r="K19" s="15" t="s">
        <v>131</v>
      </c>
      <c r="L19" s="18" t="s">
        <v>132</v>
      </c>
    </row>
    <row r="20" customFormat="false" ht="15" hidden="false" customHeight="false" outlineLevel="0" collapsed="false">
      <c r="A20" s="11" t="s">
        <v>133</v>
      </c>
      <c r="B20" s="12" t="s">
        <v>134</v>
      </c>
      <c r="C20" s="12" t="s">
        <v>89</v>
      </c>
      <c r="D20" s="12" t="s">
        <v>129</v>
      </c>
      <c r="E20" s="12" t="n">
        <v>2</v>
      </c>
      <c r="F20" s="12" t="n">
        <v>2</v>
      </c>
      <c r="G20" s="13" t="n">
        <v>350000</v>
      </c>
      <c r="H20" s="13" t="n">
        <v>3500</v>
      </c>
      <c r="I20" s="11" t="s">
        <v>135</v>
      </c>
      <c r="J20" s="12" t="s">
        <v>68</v>
      </c>
      <c r="K20" s="11" t="s">
        <v>136</v>
      </c>
      <c r="L20" s="14" t="s">
        <v>137</v>
      </c>
    </row>
    <row r="21" customFormat="false" ht="15" hidden="false" customHeight="false" outlineLevel="0" collapsed="false">
      <c r="A21" s="15" t="s">
        <v>138</v>
      </c>
      <c r="B21" s="16" t="s">
        <v>139</v>
      </c>
      <c r="C21" s="16" t="s">
        <v>89</v>
      </c>
      <c r="D21" s="16" t="s">
        <v>129</v>
      </c>
      <c r="E21" s="16" t="n">
        <v>2</v>
      </c>
      <c r="F21" s="16" t="n">
        <v>2</v>
      </c>
      <c r="G21" s="17" t="n">
        <v>450000</v>
      </c>
      <c r="H21" s="17" t="n">
        <v>4500</v>
      </c>
      <c r="I21" s="15" t="s">
        <v>140</v>
      </c>
      <c r="J21" s="16" t="s">
        <v>68</v>
      </c>
      <c r="K21" s="15" t="s">
        <v>141</v>
      </c>
      <c r="L21" s="18" t="s">
        <v>142</v>
      </c>
    </row>
    <row r="22" customFormat="false" ht="15" hidden="false" customHeight="false" outlineLevel="0" collapsed="false">
      <c r="A22" s="11" t="s">
        <v>143</v>
      </c>
      <c r="B22" s="12" t="s">
        <v>144</v>
      </c>
      <c r="C22" s="12" t="s">
        <v>89</v>
      </c>
      <c r="D22" s="12" t="s">
        <v>129</v>
      </c>
      <c r="E22" s="12" t="n">
        <v>2</v>
      </c>
      <c r="F22" s="12" t="n">
        <v>2</v>
      </c>
      <c r="G22" s="13" t="n">
        <v>200000</v>
      </c>
      <c r="H22" s="13" t="n">
        <v>2000</v>
      </c>
      <c r="I22" s="11" t="s">
        <v>145</v>
      </c>
      <c r="J22" s="12" t="s">
        <v>68</v>
      </c>
      <c r="K22" s="11" t="s">
        <v>146</v>
      </c>
      <c r="L22" s="14" t="s">
        <v>147</v>
      </c>
    </row>
    <row r="23" customFormat="false" ht="15" hidden="false" customHeight="false" outlineLevel="0" collapsed="false">
      <c r="A23" s="15" t="s">
        <v>148</v>
      </c>
      <c r="B23" s="16" t="s">
        <v>149</v>
      </c>
      <c r="C23" s="16" t="s">
        <v>89</v>
      </c>
      <c r="D23" s="16" t="s">
        <v>150</v>
      </c>
      <c r="E23" s="16" t="n">
        <v>3</v>
      </c>
      <c r="F23" s="16" t="n">
        <v>3</v>
      </c>
      <c r="G23" s="17" t="n">
        <v>400000</v>
      </c>
      <c r="H23" s="17" t="n">
        <v>4000</v>
      </c>
      <c r="I23" s="15" t="s">
        <v>151</v>
      </c>
      <c r="J23" s="16" t="s">
        <v>68</v>
      </c>
      <c r="K23" s="15" t="s">
        <v>152</v>
      </c>
      <c r="L23" s="18" t="s">
        <v>153</v>
      </c>
    </row>
    <row r="24" customFormat="false" ht="15" hidden="false" customHeight="false" outlineLevel="0" collapsed="false">
      <c r="A24" s="11" t="s">
        <v>154</v>
      </c>
      <c r="B24" s="12" t="s">
        <v>155</v>
      </c>
      <c r="C24" s="12" t="s">
        <v>89</v>
      </c>
      <c r="D24" s="12" t="s">
        <v>150</v>
      </c>
      <c r="E24" s="12" t="n">
        <v>2</v>
      </c>
      <c r="F24" s="12" t="n">
        <v>1</v>
      </c>
      <c r="G24" s="13" t="n">
        <v>40000</v>
      </c>
      <c r="H24" s="13" t="n">
        <v>400</v>
      </c>
      <c r="I24" s="11" t="s">
        <v>151</v>
      </c>
      <c r="J24" s="12" t="s">
        <v>68</v>
      </c>
      <c r="K24" s="11" t="s">
        <v>156</v>
      </c>
      <c r="L24" s="14" t="s">
        <v>157</v>
      </c>
    </row>
    <row r="25" customFormat="false" ht="15" hidden="false" customHeight="false" outlineLevel="0" collapsed="false">
      <c r="A25" s="15" t="s">
        <v>158</v>
      </c>
      <c r="B25" s="16" t="s">
        <v>159</v>
      </c>
      <c r="C25" s="16" t="s">
        <v>89</v>
      </c>
      <c r="D25" s="16" t="s">
        <v>150</v>
      </c>
      <c r="E25" s="16" t="n">
        <v>2</v>
      </c>
      <c r="F25" s="16" t="n">
        <v>2</v>
      </c>
      <c r="G25" s="17" t="n">
        <v>180000</v>
      </c>
      <c r="H25" s="17" t="n">
        <v>1800</v>
      </c>
      <c r="I25" s="15" t="s">
        <v>160</v>
      </c>
      <c r="J25" s="16" t="s">
        <v>68</v>
      </c>
      <c r="K25" s="15" t="s">
        <v>161</v>
      </c>
      <c r="L25" s="18" t="s">
        <v>162</v>
      </c>
    </row>
    <row r="26" customFormat="false" ht="15" hidden="false" customHeight="false" outlineLevel="0" collapsed="false">
      <c r="A26" s="11" t="s">
        <v>163</v>
      </c>
      <c r="B26" s="12" t="s">
        <v>164</v>
      </c>
      <c r="C26" s="12" t="s">
        <v>165</v>
      </c>
      <c r="D26" s="12" t="s">
        <v>165</v>
      </c>
      <c r="E26" s="12" t="n">
        <v>1</v>
      </c>
      <c r="F26" s="12" t="n">
        <v>1</v>
      </c>
      <c r="G26" s="13" t="n">
        <v>280000</v>
      </c>
      <c r="H26" s="13" t="n">
        <v>2800</v>
      </c>
      <c r="I26" s="11" t="s">
        <v>135</v>
      </c>
      <c r="J26" s="12" t="s">
        <v>68</v>
      </c>
      <c r="K26" s="11" t="s">
        <v>166</v>
      </c>
      <c r="L26" s="14" t="s">
        <v>167</v>
      </c>
    </row>
    <row r="27" customFormat="false" ht="15" hidden="false" customHeight="false" outlineLevel="0" collapsed="false">
      <c r="A27" s="15" t="s">
        <v>168</v>
      </c>
      <c r="B27" s="16" t="s">
        <v>169</v>
      </c>
      <c r="C27" s="16" t="s">
        <v>165</v>
      </c>
      <c r="D27" s="16" t="s">
        <v>165</v>
      </c>
      <c r="E27" s="16" t="n">
        <v>1</v>
      </c>
      <c r="F27" s="16" t="n">
        <v>1</v>
      </c>
      <c r="G27" s="17" t="n">
        <v>30000</v>
      </c>
      <c r="H27" s="17" t="n">
        <v>300</v>
      </c>
      <c r="I27" s="16" t="s">
        <v>53</v>
      </c>
      <c r="J27" s="16" t="s">
        <v>68</v>
      </c>
      <c r="K27" s="15" t="s">
        <v>170</v>
      </c>
      <c r="L27" s="18" t="s">
        <v>171</v>
      </c>
    </row>
    <row r="28" customFormat="false" ht="15" hidden="false" customHeight="false" outlineLevel="0" collapsed="false">
      <c r="A28" s="11" t="s">
        <v>172</v>
      </c>
      <c r="B28" s="12" t="s">
        <v>173</v>
      </c>
      <c r="C28" s="12" t="s">
        <v>165</v>
      </c>
      <c r="D28" s="12" t="s">
        <v>165</v>
      </c>
      <c r="E28" s="12" t="n">
        <v>2</v>
      </c>
      <c r="F28" s="12" t="n">
        <v>2</v>
      </c>
      <c r="G28" s="13" t="n">
        <v>90000</v>
      </c>
      <c r="H28" s="13" t="n">
        <v>900</v>
      </c>
      <c r="I28" s="11" t="s">
        <v>151</v>
      </c>
      <c r="J28" s="12" t="s">
        <v>68</v>
      </c>
      <c r="K28" s="11" t="s">
        <v>174</v>
      </c>
      <c r="L28" s="14" t="s">
        <v>175</v>
      </c>
    </row>
    <row r="29" customFormat="false" ht="15" hidden="false" customHeight="false" outlineLevel="0" collapsed="false">
      <c r="A29" s="15" t="s">
        <v>176</v>
      </c>
      <c r="B29" s="16" t="s">
        <v>177</v>
      </c>
      <c r="C29" s="16" t="s">
        <v>165</v>
      </c>
      <c r="D29" s="16" t="s">
        <v>165</v>
      </c>
      <c r="E29" s="16" t="n">
        <v>2</v>
      </c>
      <c r="F29" s="16" t="n">
        <v>1</v>
      </c>
      <c r="G29" s="17" t="n">
        <v>12000</v>
      </c>
      <c r="H29" s="17" t="n">
        <v>120</v>
      </c>
      <c r="I29" s="15" t="s">
        <v>151</v>
      </c>
      <c r="J29" s="16" t="s">
        <v>54</v>
      </c>
      <c r="K29" s="15" t="s">
        <v>178</v>
      </c>
      <c r="L29" s="18" t="s">
        <v>179</v>
      </c>
    </row>
    <row r="30" customFormat="false" ht="15" hidden="false" customHeight="false" outlineLevel="0" collapsed="false">
      <c r="A30" s="11" t="s">
        <v>180</v>
      </c>
      <c r="B30" s="12" t="s">
        <v>181</v>
      </c>
      <c r="C30" s="12" t="s">
        <v>165</v>
      </c>
      <c r="D30" s="12" t="s">
        <v>165</v>
      </c>
      <c r="E30" s="12" t="n">
        <v>2</v>
      </c>
      <c r="F30" s="12" t="n">
        <v>1</v>
      </c>
      <c r="G30" s="13" t="n">
        <v>8000</v>
      </c>
      <c r="H30" s="13" t="n">
        <v>80</v>
      </c>
      <c r="I30" s="11" t="s">
        <v>151</v>
      </c>
      <c r="J30" s="12" t="s">
        <v>68</v>
      </c>
      <c r="K30" s="11" t="s">
        <v>182</v>
      </c>
      <c r="L30" s="14" t="s">
        <v>183</v>
      </c>
    </row>
  </sheetData>
  <autoFilter ref="A1:L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44"/>
  </cols>
  <sheetData>
    <row r="1" customFormat="false" ht="24" hidden="false" customHeight="true" outlineLevel="0" collapsed="false">
      <c r="A1" s="9" t="s">
        <v>37</v>
      </c>
      <c r="B1" s="10" t="s">
        <v>38</v>
      </c>
      <c r="C1" s="10" t="s">
        <v>184</v>
      </c>
      <c r="D1" s="10" t="s">
        <v>185</v>
      </c>
      <c r="E1" s="10" t="s">
        <v>186</v>
      </c>
      <c r="F1" s="10" t="s">
        <v>187</v>
      </c>
      <c r="G1" s="10" t="s">
        <v>188</v>
      </c>
      <c r="H1" s="10" t="s">
        <v>189</v>
      </c>
      <c r="I1" s="10" t="s">
        <v>190</v>
      </c>
      <c r="J1" s="10" t="s">
        <v>191</v>
      </c>
      <c r="K1" s="10" t="s">
        <v>192</v>
      </c>
      <c r="L1" s="10" t="s">
        <v>45</v>
      </c>
      <c r="M1" s="10" t="s">
        <v>48</v>
      </c>
    </row>
    <row r="2" customFormat="false" ht="15" hidden="false" customHeight="false" outlineLevel="0" collapsed="false">
      <c r="A2" s="11" t="s">
        <v>193</v>
      </c>
      <c r="B2" s="12" t="s">
        <v>194</v>
      </c>
      <c r="C2" s="12" t="s">
        <v>195</v>
      </c>
      <c r="D2" s="19" t="s">
        <v>93</v>
      </c>
      <c r="E2" s="12" t="s">
        <v>196</v>
      </c>
      <c r="F2" s="12" t="n">
        <v>40</v>
      </c>
      <c r="G2" s="12" t="n">
        <v>220</v>
      </c>
      <c r="H2" s="13"/>
      <c r="I2" s="12" t="s">
        <v>197</v>
      </c>
      <c r="J2" s="12" t="n">
        <v>4</v>
      </c>
      <c r="K2" s="12" t="n">
        <v>0.1</v>
      </c>
      <c r="L2" s="12" t="s">
        <v>53</v>
      </c>
      <c r="M2" s="14" t="s">
        <v>198</v>
      </c>
    </row>
    <row r="3" customFormat="false" ht="15" hidden="false" customHeight="false" outlineLevel="0" collapsed="false">
      <c r="A3" s="15" t="s">
        <v>199</v>
      </c>
      <c r="B3" s="16" t="s">
        <v>200</v>
      </c>
      <c r="C3" s="16" t="s">
        <v>195</v>
      </c>
      <c r="D3" s="20" t="s">
        <v>97</v>
      </c>
      <c r="E3" s="16" t="s">
        <v>196</v>
      </c>
      <c r="F3" s="16" t="n">
        <v>30</v>
      </c>
      <c r="G3" s="16" t="n">
        <v>300</v>
      </c>
      <c r="H3" s="17"/>
      <c r="I3" s="16" t="s">
        <v>201</v>
      </c>
      <c r="J3" s="16" t="n">
        <v>4</v>
      </c>
      <c r="K3" s="16" t="n">
        <v>0.15</v>
      </c>
      <c r="L3" s="15" t="s">
        <v>99</v>
      </c>
      <c r="M3" s="18" t="s">
        <v>202</v>
      </c>
    </row>
    <row r="4" customFormat="false" ht="15" hidden="false" customHeight="false" outlineLevel="0" collapsed="false">
      <c r="A4" s="11" t="s">
        <v>203</v>
      </c>
      <c r="B4" s="12" t="s">
        <v>204</v>
      </c>
      <c r="C4" s="12" t="s">
        <v>195</v>
      </c>
      <c r="D4" s="19" t="s">
        <v>106</v>
      </c>
      <c r="E4" s="12" t="s">
        <v>205</v>
      </c>
      <c r="F4" s="12" t="n">
        <v>45</v>
      </c>
      <c r="G4" s="12" t="n">
        <v>110</v>
      </c>
      <c r="H4" s="13"/>
      <c r="I4" s="12" t="s">
        <v>206</v>
      </c>
      <c r="J4" s="12" t="n">
        <v>0</v>
      </c>
      <c r="K4" s="12" t="n">
        <v>0.1</v>
      </c>
      <c r="L4" s="12" t="s">
        <v>53</v>
      </c>
      <c r="M4" s="14" t="s">
        <v>207</v>
      </c>
    </row>
    <row r="5" customFormat="false" ht="15" hidden="false" customHeight="false" outlineLevel="0" collapsed="false">
      <c r="A5" s="15" t="s">
        <v>111</v>
      </c>
      <c r="B5" s="16" t="s">
        <v>208</v>
      </c>
      <c r="C5" s="16" t="s">
        <v>195</v>
      </c>
      <c r="D5" s="20" t="s">
        <v>111</v>
      </c>
      <c r="E5" s="16" t="s">
        <v>205</v>
      </c>
      <c r="F5" s="16" t="n">
        <v>45</v>
      </c>
      <c r="G5" s="16" t="n">
        <v>130</v>
      </c>
      <c r="H5" s="17"/>
      <c r="I5" s="16" t="s">
        <v>206</v>
      </c>
      <c r="J5" s="16" t="n">
        <v>0</v>
      </c>
      <c r="K5" s="16" t="n">
        <v>0.12</v>
      </c>
      <c r="L5" s="16" t="s">
        <v>53</v>
      </c>
      <c r="M5" s="18" t="s">
        <v>209</v>
      </c>
    </row>
    <row r="6" customFormat="false" ht="15" hidden="false" customHeight="false" outlineLevel="0" collapsed="false">
      <c r="A6" s="11" t="s">
        <v>115</v>
      </c>
      <c r="B6" s="12" t="s">
        <v>210</v>
      </c>
      <c r="C6" s="12" t="s">
        <v>195</v>
      </c>
      <c r="D6" s="19" t="s">
        <v>115</v>
      </c>
      <c r="E6" s="12" t="s">
        <v>205</v>
      </c>
      <c r="F6" s="12" t="n">
        <v>50</v>
      </c>
      <c r="G6" s="12" t="n">
        <v>150</v>
      </c>
      <c r="H6" s="13"/>
      <c r="I6" s="12" t="s">
        <v>206</v>
      </c>
      <c r="J6" s="12" t="n">
        <v>0</v>
      </c>
      <c r="K6" s="12" t="n">
        <v>0.15</v>
      </c>
      <c r="L6" s="12" t="s">
        <v>53</v>
      </c>
      <c r="M6" s="14" t="s">
        <v>211</v>
      </c>
    </row>
    <row r="7" customFormat="false" ht="15" hidden="false" customHeight="false" outlineLevel="0" collapsed="false">
      <c r="A7" s="15" t="s">
        <v>212</v>
      </c>
      <c r="B7" s="16" t="s">
        <v>213</v>
      </c>
      <c r="C7" s="16" t="s">
        <v>195</v>
      </c>
      <c r="D7" s="20" t="s">
        <v>119</v>
      </c>
      <c r="E7" s="16" t="s">
        <v>205</v>
      </c>
      <c r="F7" s="16" t="n">
        <v>35</v>
      </c>
      <c r="G7" s="16" t="n">
        <v>90</v>
      </c>
      <c r="H7" s="17"/>
      <c r="I7" s="16" t="s">
        <v>206</v>
      </c>
      <c r="J7" s="16" t="n">
        <v>0</v>
      </c>
      <c r="K7" s="16" t="n">
        <v>0.1</v>
      </c>
      <c r="L7" s="16" t="s">
        <v>53</v>
      </c>
      <c r="M7" s="18" t="s">
        <v>214</v>
      </c>
    </row>
    <row r="8" customFormat="false" ht="15" hidden="false" customHeight="false" outlineLevel="0" collapsed="false">
      <c r="A8" s="11" t="s">
        <v>215</v>
      </c>
      <c r="B8" s="12" t="s">
        <v>216</v>
      </c>
      <c r="C8" s="12" t="s">
        <v>195</v>
      </c>
      <c r="D8" s="19" t="s">
        <v>123</v>
      </c>
      <c r="E8" s="12" t="s">
        <v>217</v>
      </c>
      <c r="F8" s="12" t="n">
        <v>30</v>
      </c>
      <c r="G8" s="12" t="n">
        <v>140</v>
      </c>
      <c r="H8" s="13"/>
      <c r="I8" s="12" t="s">
        <v>218</v>
      </c>
      <c r="J8" s="12" t="n">
        <v>3</v>
      </c>
      <c r="K8" s="12" t="n">
        <v>0.2</v>
      </c>
      <c r="L8" s="12" t="s">
        <v>53</v>
      </c>
      <c r="M8" s="14" t="s">
        <v>219</v>
      </c>
    </row>
    <row r="9" customFormat="false" ht="15" hidden="false" customHeight="false" outlineLevel="0" collapsed="false">
      <c r="A9" s="15" t="s">
        <v>220</v>
      </c>
      <c r="B9" s="16" t="s">
        <v>221</v>
      </c>
      <c r="C9" s="16" t="s">
        <v>195</v>
      </c>
      <c r="D9" s="20" t="s">
        <v>123</v>
      </c>
      <c r="E9" s="16" t="s">
        <v>217</v>
      </c>
      <c r="F9" s="16" t="n">
        <v>45</v>
      </c>
      <c r="G9" s="16" t="n">
        <v>260</v>
      </c>
      <c r="H9" s="17"/>
      <c r="I9" s="16" t="s">
        <v>197</v>
      </c>
      <c r="J9" s="16" t="n">
        <v>12</v>
      </c>
      <c r="K9" s="16" t="n">
        <v>0.3</v>
      </c>
      <c r="L9" s="16" t="s">
        <v>53</v>
      </c>
      <c r="M9" s="18" t="s">
        <v>222</v>
      </c>
    </row>
    <row r="10" customFormat="false" ht="15" hidden="false" customHeight="false" outlineLevel="0" collapsed="false">
      <c r="A10" s="11" t="s">
        <v>127</v>
      </c>
      <c r="B10" s="12" t="s">
        <v>223</v>
      </c>
      <c r="C10" s="12" t="s">
        <v>224</v>
      </c>
      <c r="D10" s="19" t="s">
        <v>127</v>
      </c>
      <c r="E10" s="12" t="s">
        <v>217</v>
      </c>
      <c r="F10" s="12" t="n">
        <v>60</v>
      </c>
      <c r="G10" s="12"/>
      <c r="H10" s="13" t="n">
        <v>6000</v>
      </c>
      <c r="I10" s="12" t="s">
        <v>225</v>
      </c>
      <c r="J10" s="12" t="n">
        <v>5</v>
      </c>
      <c r="K10" s="12" t="n">
        <v>0.25</v>
      </c>
      <c r="L10" s="11" t="s">
        <v>130</v>
      </c>
      <c r="M10" s="14" t="s">
        <v>226</v>
      </c>
    </row>
    <row r="11" customFormat="false" ht="15" hidden="false" customHeight="false" outlineLevel="0" collapsed="false">
      <c r="A11" s="15" t="s">
        <v>163</v>
      </c>
      <c r="B11" s="16" t="s">
        <v>227</v>
      </c>
      <c r="C11" s="16" t="s">
        <v>224</v>
      </c>
      <c r="D11" s="20" t="s">
        <v>228</v>
      </c>
      <c r="E11" s="16" t="s">
        <v>229</v>
      </c>
      <c r="F11" s="16" t="n">
        <v>45</v>
      </c>
      <c r="G11" s="16"/>
      <c r="H11" s="17" t="n">
        <v>7000</v>
      </c>
      <c r="I11" s="16" t="s">
        <v>230</v>
      </c>
      <c r="J11" s="16" t="n">
        <v>4</v>
      </c>
      <c r="K11" s="16" t="n">
        <v>0.3</v>
      </c>
      <c r="L11" s="15" t="s">
        <v>135</v>
      </c>
      <c r="M11" s="18" t="s">
        <v>231</v>
      </c>
    </row>
    <row r="12" customFormat="false" ht="15" hidden="false" customHeight="false" outlineLevel="0" collapsed="false">
      <c r="A12" s="11" t="s">
        <v>232</v>
      </c>
      <c r="B12" s="12" t="s">
        <v>233</v>
      </c>
      <c r="C12" s="12" t="s">
        <v>224</v>
      </c>
      <c r="D12" s="19" t="s">
        <v>138</v>
      </c>
      <c r="E12" s="12" t="s">
        <v>234</v>
      </c>
      <c r="F12" s="12" t="n">
        <v>40</v>
      </c>
      <c r="G12" s="12"/>
      <c r="H12" s="13" t="n">
        <v>7500</v>
      </c>
      <c r="I12" s="12" t="s">
        <v>230</v>
      </c>
      <c r="J12" s="12" t="n">
        <v>4</v>
      </c>
      <c r="K12" s="12" t="n">
        <v>0.28</v>
      </c>
      <c r="L12" s="11" t="s">
        <v>140</v>
      </c>
      <c r="M12" s="14" t="s">
        <v>235</v>
      </c>
    </row>
    <row r="13" customFormat="false" ht="15" hidden="false" customHeight="false" outlineLevel="0" collapsed="false">
      <c r="A13" s="15" t="s">
        <v>236</v>
      </c>
      <c r="B13" s="16" t="s">
        <v>237</v>
      </c>
      <c r="C13" s="16" t="s">
        <v>224</v>
      </c>
      <c r="D13" s="20" t="s">
        <v>143</v>
      </c>
      <c r="E13" s="16" t="s">
        <v>217</v>
      </c>
      <c r="F13" s="16" t="n">
        <v>60</v>
      </c>
      <c r="G13" s="16"/>
      <c r="H13" s="17" t="n">
        <v>7500</v>
      </c>
      <c r="I13" s="16" t="s">
        <v>197</v>
      </c>
      <c r="J13" s="16" t="n">
        <v>14</v>
      </c>
      <c r="K13" s="16" t="n">
        <v>0.3</v>
      </c>
      <c r="L13" s="15" t="s">
        <v>145</v>
      </c>
      <c r="M13" s="18" t="s">
        <v>238</v>
      </c>
    </row>
    <row r="14" customFormat="false" ht="15" hidden="false" customHeight="false" outlineLevel="0" collapsed="false">
      <c r="A14" s="11" t="s">
        <v>239</v>
      </c>
      <c r="B14" s="11" t="s">
        <v>240</v>
      </c>
      <c r="C14" s="12" t="s">
        <v>224</v>
      </c>
      <c r="D14" s="19" t="s">
        <v>93</v>
      </c>
      <c r="E14" s="12" t="s">
        <v>196</v>
      </c>
      <c r="F14" s="12" t="n">
        <v>60</v>
      </c>
      <c r="G14" s="12"/>
      <c r="H14" s="13" t="n">
        <v>12000</v>
      </c>
      <c r="I14" s="12" t="s">
        <v>241</v>
      </c>
      <c r="J14" s="12" t="n">
        <v>6</v>
      </c>
      <c r="K14" s="12" t="n">
        <v>0.35</v>
      </c>
      <c r="L14" s="11" t="s">
        <v>242</v>
      </c>
      <c r="M14" s="14" t="s">
        <v>243</v>
      </c>
    </row>
    <row r="15" customFormat="false" ht="15" hidden="false" customHeight="false" outlineLevel="0" collapsed="false">
      <c r="A15" s="15" t="s">
        <v>244</v>
      </c>
      <c r="B15" s="16" t="s">
        <v>245</v>
      </c>
      <c r="C15" s="16" t="s">
        <v>224</v>
      </c>
      <c r="D15" s="20" t="s">
        <v>123</v>
      </c>
      <c r="E15" s="16" t="s">
        <v>217</v>
      </c>
      <c r="F15" s="16" t="n">
        <v>45</v>
      </c>
      <c r="G15" s="16"/>
      <c r="H15" s="17" t="n">
        <v>7000</v>
      </c>
      <c r="I15" s="16" t="s">
        <v>246</v>
      </c>
      <c r="J15" s="16" t="n">
        <v>5</v>
      </c>
      <c r="K15" s="16" t="n">
        <v>0.2</v>
      </c>
      <c r="L15" s="15" t="s">
        <v>247</v>
      </c>
      <c r="M15" s="18" t="s">
        <v>248</v>
      </c>
    </row>
    <row r="16" customFormat="false" ht="26.85" hidden="false" customHeight="false" outlineLevel="0" collapsed="false">
      <c r="A16" s="11" t="s">
        <v>249</v>
      </c>
      <c r="B16" s="12" t="s">
        <v>250</v>
      </c>
      <c r="C16" s="12" t="s">
        <v>195</v>
      </c>
      <c r="D16" s="19" t="s">
        <v>148</v>
      </c>
      <c r="E16" s="12" t="s">
        <v>251</v>
      </c>
      <c r="F16" s="12" t="n">
        <v>90</v>
      </c>
      <c r="G16" s="12" t="n">
        <v>520</v>
      </c>
      <c r="H16" s="13"/>
      <c r="I16" s="12" t="s">
        <v>252</v>
      </c>
      <c r="J16" s="12" t="n">
        <v>12</v>
      </c>
      <c r="K16" s="12" t="n">
        <v>0.35</v>
      </c>
      <c r="L16" s="11" t="s">
        <v>151</v>
      </c>
      <c r="M16" s="14" t="s">
        <v>253</v>
      </c>
    </row>
    <row r="17" customFormat="false" ht="15" hidden="false" customHeight="false" outlineLevel="0" collapsed="false">
      <c r="A17" s="15" t="s">
        <v>254</v>
      </c>
      <c r="B17" s="16" t="s">
        <v>255</v>
      </c>
      <c r="C17" s="16" t="s">
        <v>195</v>
      </c>
      <c r="D17" s="20" t="s">
        <v>154</v>
      </c>
      <c r="E17" s="16" t="s">
        <v>251</v>
      </c>
      <c r="F17" s="16" t="n">
        <v>60</v>
      </c>
      <c r="G17" s="16" t="n">
        <v>380</v>
      </c>
      <c r="H17" s="17"/>
      <c r="I17" s="16" t="s">
        <v>252</v>
      </c>
      <c r="J17" s="16" t="n">
        <v>6</v>
      </c>
      <c r="K17" s="16" t="n">
        <v>0.3</v>
      </c>
      <c r="L17" s="15" t="s">
        <v>151</v>
      </c>
      <c r="M17" s="18" t="s">
        <v>256</v>
      </c>
    </row>
    <row r="18" customFormat="false" ht="15" hidden="false" customHeight="false" outlineLevel="0" collapsed="false">
      <c r="A18" s="11" t="s">
        <v>257</v>
      </c>
      <c r="B18" s="12" t="s">
        <v>258</v>
      </c>
      <c r="C18" s="12" t="s">
        <v>195</v>
      </c>
      <c r="D18" s="19" t="s">
        <v>158</v>
      </c>
      <c r="E18" s="12" t="s">
        <v>259</v>
      </c>
      <c r="F18" s="12" t="n">
        <v>60</v>
      </c>
      <c r="G18" s="12" t="n">
        <v>420</v>
      </c>
      <c r="H18" s="13"/>
      <c r="I18" s="12" t="s">
        <v>252</v>
      </c>
      <c r="J18" s="12" t="n">
        <v>5</v>
      </c>
      <c r="K18" s="12" t="n">
        <v>0.3</v>
      </c>
      <c r="L18" s="11" t="s">
        <v>160</v>
      </c>
      <c r="M18" s="14" t="s">
        <v>260</v>
      </c>
    </row>
  </sheetData>
  <autoFilter ref="A1:M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11" min="8" style="0" width="10"/>
    <col collapsed="false" customWidth="true" hidden="false" outlineLevel="0" max="12" min="12" style="0" width="70"/>
  </cols>
  <sheetData>
    <row r="1" customFormat="false" ht="24" hidden="false" customHeight="true" outlineLevel="0" collapsed="false">
      <c r="A1" s="9" t="s">
        <v>37</v>
      </c>
      <c r="B1" s="10" t="s">
        <v>38</v>
      </c>
      <c r="C1" s="10" t="s">
        <v>261</v>
      </c>
      <c r="D1" s="10" t="s">
        <v>262</v>
      </c>
      <c r="E1" s="10" t="s">
        <v>263</v>
      </c>
      <c r="F1" s="10" t="s">
        <v>264</v>
      </c>
      <c r="G1" s="10" t="s">
        <v>265</v>
      </c>
      <c r="H1" s="10" t="s">
        <v>266</v>
      </c>
      <c r="I1" s="10" t="s">
        <v>267</v>
      </c>
      <c r="J1" s="10" t="s">
        <v>268</v>
      </c>
      <c r="K1" s="10" t="s">
        <v>269</v>
      </c>
      <c r="L1" s="10" t="s">
        <v>270</v>
      </c>
    </row>
    <row r="2" customFormat="false" ht="39.55" hidden="false" customHeight="false" outlineLevel="0" collapsed="false">
      <c r="A2" s="11" t="s">
        <v>271</v>
      </c>
      <c r="B2" s="12" t="s">
        <v>272</v>
      </c>
      <c r="C2" s="14" t="s">
        <v>273</v>
      </c>
      <c r="D2" s="12" t="n">
        <v>0.6</v>
      </c>
      <c r="E2" s="12" t="n">
        <v>70</v>
      </c>
      <c r="F2" s="12" t="s">
        <v>68</v>
      </c>
      <c r="G2" s="12" t="n">
        <v>1.6</v>
      </c>
      <c r="H2" s="12" t="n">
        <v>0.25</v>
      </c>
      <c r="I2" s="12" t="n">
        <v>0.7</v>
      </c>
      <c r="J2" s="12" t="n">
        <v>0.6</v>
      </c>
      <c r="K2" s="12" t="n">
        <v>3</v>
      </c>
      <c r="L2" s="19" t="s">
        <v>274</v>
      </c>
    </row>
    <row r="3" customFormat="false" ht="52.2" hidden="false" customHeight="false" outlineLevel="0" collapsed="false">
      <c r="A3" s="15" t="s">
        <v>275</v>
      </c>
      <c r="B3" s="16" t="s">
        <v>276</v>
      </c>
      <c r="C3" s="18" t="s">
        <v>277</v>
      </c>
      <c r="D3" s="16" t="n">
        <v>1</v>
      </c>
      <c r="E3" s="16" t="n">
        <v>40</v>
      </c>
      <c r="F3" s="16" t="s">
        <v>278</v>
      </c>
      <c r="G3" s="16" t="n">
        <v>0.8</v>
      </c>
      <c r="H3" s="16" t="n">
        <v>0.65</v>
      </c>
      <c r="I3" s="16" t="n">
        <v>0.3</v>
      </c>
      <c r="J3" s="16" t="n">
        <v>0.7</v>
      </c>
      <c r="K3" s="16" t="n">
        <v>4</v>
      </c>
      <c r="L3" s="20" t="s">
        <v>279</v>
      </c>
    </row>
    <row r="4" customFormat="false" ht="52.2" hidden="false" customHeight="false" outlineLevel="0" collapsed="false">
      <c r="A4" s="11" t="s">
        <v>280</v>
      </c>
      <c r="B4" s="12" t="s">
        <v>281</v>
      </c>
      <c r="C4" s="14" t="s">
        <v>282</v>
      </c>
      <c r="D4" s="12" t="n">
        <v>1.1</v>
      </c>
      <c r="E4" s="12" t="n">
        <v>55</v>
      </c>
      <c r="F4" s="12" t="s">
        <v>278</v>
      </c>
      <c r="G4" s="12" t="n">
        <v>0.6</v>
      </c>
      <c r="H4" s="12" t="n">
        <v>0.6</v>
      </c>
      <c r="I4" s="12" t="n">
        <v>0.4</v>
      </c>
      <c r="J4" s="12" t="n">
        <v>0.9</v>
      </c>
      <c r="K4" s="12" t="n">
        <v>8</v>
      </c>
      <c r="L4" s="19" t="s">
        <v>283</v>
      </c>
    </row>
    <row r="5" customFormat="false" ht="26.85" hidden="false" customHeight="false" outlineLevel="0" collapsed="false">
      <c r="A5" s="15" t="s">
        <v>284</v>
      </c>
      <c r="B5" s="16" t="s">
        <v>285</v>
      </c>
      <c r="C5" s="18" t="s">
        <v>286</v>
      </c>
      <c r="D5" s="16" t="n">
        <v>1.2</v>
      </c>
      <c r="E5" s="16" t="n">
        <v>55</v>
      </c>
      <c r="F5" s="16" t="s">
        <v>278</v>
      </c>
      <c r="G5" s="16" t="n">
        <v>1</v>
      </c>
      <c r="H5" s="16" t="n">
        <v>0.25</v>
      </c>
      <c r="I5" s="16" t="n">
        <v>0.4</v>
      </c>
      <c r="J5" s="16" t="n">
        <v>0.8</v>
      </c>
      <c r="K5" s="16" t="n">
        <v>4</v>
      </c>
      <c r="L5" s="20" t="s">
        <v>287</v>
      </c>
    </row>
  </sheetData>
  <autoFilter ref="A1:L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6" min="5" style="0" width="10"/>
    <col collapsed="false" customWidth="true" hidden="false" outlineLevel="0" max="7" min="7" style="0" width="50"/>
  </cols>
  <sheetData>
    <row r="1" customFormat="false" ht="24" hidden="false" customHeight="true" outlineLevel="0" collapsed="false">
      <c r="A1" s="9" t="s">
        <v>37</v>
      </c>
      <c r="B1" s="10" t="s">
        <v>38</v>
      </c>
      <c r="C1" s="10" t="s">
        <v>288</v>
      </c>
      <c r="D1" s="10" t="s">
        <v>289</v>
      </c>
      <c r="E1" s="10" t="s">
        <v>290</v>
      </c>
      <c r="F1" s="10" t="s">
        <v>291</v>
      </c>
      <c r="G1" s="10" t="s">
        <v>48</v>
      </c>
    </row>
    <row r="2" customFormat="false" ht="15" hidden="false" customHeight="false" outlineLevel="0" collapsed="false">
      <c r="A2" s="11" t="s">
        <v>292</v>
      </c>
      <c r="B2" s="12" t="s">
        <v>196</v>
      </c>
      <c r="C2" s="13" t="n">
        <v>150000</v>
      </c>
      <c r="D2" s="13" t="n">
        <v>150000</v>
      </c>
      <c r="E2" s="11" t="s">
        <v>293</v>
      </c>
      <c r="F2" s="12" t="n">
        <v>100</v>
      </c>
      <c r="G2" s="14" t="s">
        <v>294</v>
      </c>
    </row>
    <row r="3" customFormat="false" ht="15" hidden="false" customHeight="false" outlineLevel="0" collapsed="false">
      <c r="A3" s="15" t="s">
        <v>295</v>
      </c>
      <c r="B3" s="16" t="s">
        <v>217</v>
      </c>
      <c r="C3" s="17" t="n">
        <v>62000</v>
      </c>
      <c r="D3" s="17" t="n">
        <v>62000</v>
      </c>
      <c r="E3" s="15" t="s">
        <v>293</v>
      </c>
      <c r="F3" s="16" t="n">
        <v>100</v>
      </c>
      <c r="G3" s="18" t="s">
        <v>296</v>
      </c>
    </row>
    <row r="4" customFormat="false" ht="15" hidden="false" customHeight="false" outlineLevel="0" collapsed="false">
      <c r="A4" s="11" t="s">
        <v>297</v>
      </c>
      <c r="B4" s="12" t="s">
        <v>251</v>
      </c>
      <c r="C4" s="13" t="n">
        <v>62000</v>
      </c>
      <c r="D4" s="13" t="n">
        <v>62000</v>
      </c>
      <c r="E4" s="11" t="s">
        <v>293</v>
      </c>
      <c r="F4" s="12" t="n">
        <v>100</v>
      </c>
      <c r="G4" s="14" t="s">
        <v>298</v>
      </c>
    </row>
    <row r="5" customFormat="false" ht="15" hidden="false" customHeight="false" outlineLevel="0" collapsed="false">
      <c r="A5" s="15" t="s">
        <v>299</v>
      </c>
      <c r="B5" s="16" t="s">
        <v>259</v>
      </c>
      <c r="C5" s="17" t="n">
        <v>62000</v>
      </c>
      <c r="D5" s="17" t="n">
        <v>62000</v>
      </c>
      <c r="E5" s="15" t="s">
        <v>293</v>
      </c>
      <c r="F5" s="16" t="n">
        <v>100</v>
      </c>
      <c r="G5" s="18" t="s">
        <v>300</v>
      </c>
    </row>
    <row r="6" customFormat="false" ht="15" hidden="false" customHeight="false" outlineLevel="0" collapsed="false">
      <c r="A6" s="11" t="s">
        <v>301</v>
      </c>
      <c r="B6" s="12" t="s">
        <v>302</v>
      </c>
      <c r="C6" s="13" t="n">
        <v>38000</v>
      </c>
      <c r="D6" s="13" t="n">
        <v>38000</v>
      </c>
      <c r="E6" s="11" t="s">
        <v>293</v>
      </c>
      <c r="F6" s="12" t="n">
        <v>100</v>
      </c>
      <c r="G6" s="14" t="s">
        <v>303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50"/>
    <col collapsed="false" customWidth="true" hidden="false" outlineLevel="0" max="4" min="4" style="0" width="30"/>
  </cols>
  <sheetData>
    <row r="1" customFormat="false" ht="24" hidden="false" customHeight="true" outlineLevel="0" collapsed="false">
      <c r="A1" s="9" t="s">
        <v>37</v>
      </c>
      <c r="B1" s="10" t="s">
        <v>38</v>
      </c>
      <c r="C1" s="10" t="s">
        <v>48</v>
      </c>
      <c r="D1" s="10" t="s">
        <v>304</v>
      </c>
    </row>
    <row r="2" customFormat="false" ht="15" hidden="false" customHeight="false" outlineLevel="0" collapsed="false">
      <c r="A2" s="11" t="s">
        <v>305</v>
      </c>
      <c r="B2" s="12" t="s">
        <v>306</v>
      </c>
      <c r="C2" s="14" t="s">
        <v>307</v>
      </c>
      <c r="D2" s="11" t="s">
        <v>308</v>
      </c>
    </row>
    <row r="3" customFormat="false" ht="15" hidden="false" customHeight="false" outlineLevel="0" collapsed="false">
      <c r="A3" s="15" t="s">
        <v>309</v>
      </c>
      <c r="B3" s="16" t="s">
        <v>310</v>
      </c>
      <c r="C3" s="18" t="s">
        <v>311</v>
      </c>
      <c r="D3" s="15" t="s">
        <v>312</v>
      </c>
    </row>
    <row r="4" customFormat="false" ht="15" hidden="false" customHeight="false" outlineLevel="0" collapsed="false">
      <c r="A4" s="11" t="s">
        <v>313</v>
      </c>
      <c r="B4" s="12" t="s">
        <v>314</v>
      </c>
      <c r="C4" s="14" t="s">
        <v>315</v>
      </c>
      <c r="D4" s="11" t="s">
        <v>316</v>
      </c>
    </row>
    <row r="5" customFormat="false" ht="15" hidden="false" customHeight="false" outlineLevel="0" collapsed="false">
      <c r="A5" s="15" t="s">
        <v>317</v>
      </c>
      <c r="B5" s="16" t="s">
        <v>318</v>
      </c>
      <c r="C5" s="18" t="s">
        <v>319</v>
      </c>
      <c r="D5" s="15" t="s">
        <v>320</v>
      </c>
    </row>
    <row r="6" customFormat="false" ht="15" hidden="false" customHeight="false" outlineLevel="0" collapsed="false">
      <c r="A6" s="11" t="s">
        <v>321</v>
      </c>
      <c r="B6" s="12" t="s">
        <v>322</v>
      </c>
      <c r="C6" s="14" t="s">
        <v>323</v>
      </c>
      <c r="D6" s="11" t="s">
        <v>324</v>
      </c>
    </row>
    <row r="7" customFormat="false" ht="15" hidden="false" customHeight="false" outlineLevel="0" collapsed="false">
      <c r="A7" s="15" t="s">
        <v>325</v>
      </c>
      <c r="B7" s="16" t="s">
        <v>326</v>
      </c>
      <c r="C7" s="18" t="s">
        <v>327</v>
      </c>
      <c r="D7" s="15" t="s">
        <v>328</v>
      </c>
    </row>
    <row r="8" customFormat="false" ht="15" hidden="false" customHeight="false" outlineLevel="0" collapsed="false">
      <c r="A8" s="11" t="s">
        <v>329</v>
      </c>
      <c r="B8" s="12" t="s">
        <v>330</v>
      </c>
      <c r="C8" s="14" t="s">
        <v>331</v>
      </c>
      <c r="D8" s="11" t="s">
        <v>332</v>
      </c>
    </row>
    <row r="9" customFormat="false" ht="15" hidden="false" customHeight="false" outlineLevel="0" collapsed="false">
      <c r="A9" s="15" t="s">
        <v>333</v>
      </c>
      <c r="B9" s="16" t="s">
        <v>334</v>
      </c>
      <c r="C9" s="18" t="s">
        <v>335</v>
      </c>
      <c r="D9" s="15" t="s">
        <v>336</v>
      </c>
    </row>
    <row r="10" customFormat="false" ht="15" hidden="false" customHeight="false" outlineLevel="0" collapsed="false">
      <c r="A10" s="11" t="s">
        <v>337</v>
      </c>
      <c r="B10" s="12" t="s">
        <v>338</v>
      </c>
      <c r="C10" s="14" t="s">
        <v>339</v>
      </c>
      <c r="D10" s="11" t="s">
        <v>340</v>
      </c>
    </row>
    <row r="11" customFormat="false" ht="15" hidden="false" customHeight="false" outlineLevel="0" collapsed="false">
      <c r="A11" s="15" t="s">
        <v>341</v>
      </c>
      <c r="B11" s="16" t="s">
        <v>342</v>
      </c>
      <c r="C11" s="18" t="s">
        <v>343</v>
      </c>
      <c r="D11" s="15" t="s">
        <v>344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36"/>
    <col collapsed="false" customWidth="true" hidden="false" outlineLevel="0" max="5" min="5" style="0" width="34"/>
    <col collapsed="false" customWidth="true" hidden="false" outlineLevel="0" max="6" min="6" style="0" width="46"/>
  </cols>
  <sheetData>
    <row r="1" customFormat="false" ht="24" hidden="false" customHeight="true" outlineLevel="0" collapsed="false">
      <c r="A1" s="9" t="s">
        <v>37</v>
      </c>
      <c r="B1" s="10" t="s">
        <v>38</v>
      </c>
      <c r="C1" s="10" t="s">
        <v>47</v>
      </c>
      <c r="D1" s="10" t="s">
        <v>345</v>
      </c>
      <c r="E1" s="10" t="s">
        <v>346</v>
      </c>
      <c r="F1" s="10" t="s">
        <v>48</v>
      </c>
    </row>
    <row r="2" customFormat="false" ht="26.85" hidden="false" customHeight="false" outlineLevel="0" collapsed="false">
      <c r="A2" s="11" t="s">
        <v>347</v>
      </c>
      <c r="B2" s="12" t="s">
        <v>348</v>
      </c>
      <c r="C2" s="11" t="s">
        <v>349</v>
      </c>
      <c r="D2" s="19" t="s">
        <v>350</v>
      </c>
      <c r="E2" s="19" t="s">
        <v>351</v>
      </c>
      <c r="F2" s="14" t="s">
        <v>352</v>
      </c>
    </row>
    <row r="3" customFormat="false" ht="26.85" hidden="false" customHeight="false" outlineLevel="0" collapsed="false">
      <c r="A3" s="15" t="s">
        <v>353</v>
      </c>
      <c r="B3" s="16" t="s">
        <v>354</v>
      </c>
      <c r="C3" s="15" t="s">
        <v>355</v>
      </c>
      <c r="D3" s="20" t="s">
        <v>356</v>
      </c>
      <c r="E3" s="20" t="s">
        <v>357</v>
      </c>
      <c r="F3" s="18" t="s">
        <v>358</v>
      </c>
    </row>
    <row r="4" customFormat="false" ht="15" hidden="false" customHeight="false" outlineLevel="0" collapsed="false">
      <c r="A4" s="11" t="s">
        <v>359</v>
      </c>
      <c r="B4" s="12" t="s">
        <v>360</v>
      </c>
      <c r="C4" s="11" t="s">
        <v>152</v>
      </c>
      <c r="D4" s="19" t="s">
        <v>361</v>
      </c>
      <c r="E4" s="19" t="s">
        <v>362</v>
      </c>
      <c r="F4" s="14" t="s">
        <v>363</v>
      </c>
    </row>
    <row r="5" customFormat="false" ht="26.85" hidden="false" customHeight="false" outlineLevel="0" collapsed="false">
      <c r="A5" s="15" t="s">
        <v>364</v>
      </c>
      <c r="B5" s="16" t="s">
        <v>365</v>
      </c>
      <c r="C5" s="15" t="s">
        <v>366</v>
      </c>
      <c r="D5" s="20" t="s">
        <v>367</v>
      </c>
      <c r="E5" s="20" t="s">
        <v>368</v>
      </c>
      <c r="F5" s="18" t="s">
        <v>369</v>
      </c>
    </row>
    <row r="6" customFormat="false" ht="15" hidden="false" customHeight="false" outlineLevel="0" collapsed="false">
      <c r="A6" s="11" t="s">
        <v>370</v>
      </c>
      <c r="B6" s="12" t="s">
        <v>371</v>
      </c>
      <c r="C6" s="11" t="s">
        <v>170</v>
      </c>
      <c r="D6" s="19" t="s">
        <v>372</v>
      </c>
      <c r="E6" s="19" t="s">
        <v>373</v>
      </c>
      <c r="F6" s="14" t="s">
        <v>374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24" hidden="false" customHeight="true" outlineLevel="0" collapsed="false">
      <c r="A1" s="10" t="s">
        <v>375</v>
      </c>
      <c r="B1" s="10" t="s">
        <v>38</v>
      </c>
      <c r="C1" s="10" t="s">
        <v>376</v>
      </c>
      <c r="D1" s="10" t="s">
        <v>377</v>
      </c>
      <c r="E1" s="10" t="s">
        <v>378</v>
      </c>
      <c r="F1" s="10" t="s">
        <v>379</v>
      </c>
      <c r="G1" s="10" t="s">
        <v>380</v>
      </c>
      <c r="H1" s="10" t="s">
        <v>381</v>
      </c>
      <c r="I1" s="10" t="s">
        <v>382</v>
      </c>
    </row>
    <row r="2" customFormat="false" ht="15" hidden="false" customHeight="false" outlineLevel="0" collapsed="false">
      <c r="A2" s="12" t="n">
        <v>0</v>
      </c>
      <c r="B2" s="12" t="s">
        <v>383</v>
      </c>
      <c r="C2" s="11" t="s">
        <v>384</v>
      </c>
      <c r="D2" s="13" t="n">
        <v>60000</v>
      </c>
      <c r="E2" s="13" t="n">
        <v>28000</v>
      </c>
      <c r="F2" s="12" t="n">
        <v>22</v>
      </c>
      <c r="G2" s="12" t="n">
        <v>6</v>
      </c>
      <c r="H2" s="13"/>
      <c r="I2" s="14" t="s">
        <v>385</v>
      </c>
    </row>
    <row r="3" customFormat="false" ht="26.85" hidden="false" customHeight="false" outlineLevel="0" collapsed="false">
      <c r="A3" s="16" t="n">
        <v>1</v>
      </c>
      <c r="B3" s="16" t="s">
        <v>386</v>
      </c>
      <c r="C3" s="15" t="s">
        <v>387</v>
      </c>
      <c r="D3" s="17" t="n">
        <v>110000</v>
      </c>
      <c r="E3" s="17" t="n">
        <v>38000</v>
      </c>
      <c r="F3" s="16" t="n">
        <v>38</v>
      </c>
      <c r="G3" s="16" t="n">
        <v>10</v>
      </c>
      <c r="H3" s="17" t="n">
        <v>800000</v>
      </c>
      <c r="I3" s="18" t="s">
        <v>388</v>
      </c>
    </row>
    <row r="4" customFormat="false" ht="39.55" hidden="false" customHeight="false" outlineLevel="0" collapsed="false">
      <c r="A4" s="12" t="n">
        <v>2</v>
      </c>
      <c r="B4" s="12" t="s">
        <v>389</v>
      </c>
      <c r="C4" s="11" t="s">
        <v>390</v>
      </c>
      <c r="D4" s="13" t="n">
        <v>130000</v>
      </c>
      <c r="E4" s="13" t="n">
        <v>68000</v>
      </c>
      <c r="F4" s="12" t="n">
        <v>68</v>
      </c>
      <c r="G4" s="12" t="n">
        <v>15</v>
      </c>
      <c r="H4" s="13" t="n">
        <v>2500000</v>
      </c>
      <c r="I4" s="14" t="s">
        <v>391</v>
      </c>
    </row>
    <row r="5" customFormat="false" ht="39.55" hidden="false" customHeight="false" outlineLevel="0" collapsed="false">
      <c r="A5" s="16" t="n">
        <v>3</v>
      </c>
      <c r="B5" s="16" t="s">
        <v>392</v>
      </c>
      <c r="C5" s="15" t="s">
        <v>393</v>
      </c>
      <c r="D5" s="17" t="n">
        <v>180000</v>
      </c>
      <c r="E5" s="17" t="n">
        <v>100000</v>
      </c>
      <c r="F5" s="16" t="n">
        <v>100</v>
      </c>
      <c r="G5" s="16" t="n">
        <v>22</v>
      </c>
      <c r="H5" s="17" t="n">
        <v>6000000</v>
      </c>
      <c r="I5" s="18" t="s">
        <v>394</v>
      </c>
    </row>
  </sheetData>
  <autoFilter ref="A1:I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50"/>
  </cols>
  <sheetData>
    <row r="1" customFormat="false" ht="24" hidden="false" customHeight="true" outlineLevel="0" collapsed="false">
      <c r="A1" s="9" t="s">
        <v>37</v>
      </c>
      <c r="B1" s="10" t="s">
        <v>38</v>
      </c>
      <c r="C1" s="10" t="s">
        <v>395</v>
      </c>
      <c r="D1" s="10" t="s">
        <v>396</v>
      </c>
      <c r="E1" s="10" t="s">
        <v>397</v>
      </c>
      <c r="F1" s="10" t="s">
        <v>398</v>
      </c>
      <c r="G1" s="10" t="s">
        <v>399</v>
      </c>
      <c r="H1" s="10" t="s">
        <v>400</v>
      </c>
      <c r="I1" s="10" t="s">
        <v>401</v>
      </c>
    </row>
    <row r="2" customFormat="false" ht="15" hidden="false" customHeight="false" outlineLevel="0" collapsed="false">
      <c r="A2" s="11" t="s">
        <v>402</v>
      </c>
      <c r="B2" s="12" t="s">
        <v>403</v>
      </c>
      <c r="C2" s="19" t="s">
        <v>404</v>
      </c>
      <c r="D2" s="12" t="n">
        <v>30</v>
      </c>
      <c r="E2" s="11" t="s">
        <v>405</v>
      </c>
      <c r="F2" s="19" t="s">
        <v>406</v>
      </c>
      <c r="G2" s="12" t="n">
        <v>0.9</v>
      </c>
      <c r="H2" s="12"/>
      <c r="I2" s="14" t="s">
        <v>407</v>
      </c>
    </row>
    <row r="3" customFormat="false" ht="15" hidden="false" customHeight="false" outlineLevel="0" collapsed="false">
      <c r="A3" s="15" t="s">
        <v>408</v>
      </c>
      <c r="B3" s="16" t="s">
        <v>409</v>
      </c>
      <c r="C3" s="20" t="s">
        <v>410</v>
      </c>
      <c r="D3" s="16" t="n">
        <v>25</v>
      </c>
      <c r="E3" s="15" t="s">
        <v>411</v>
      </c>
      <c r="F3" s="20" t="s">
        <v>412</v>
      </c>
      <c r="G3" s="16" t="n">
        <v>1</v>
      </c>
      <c r="H3" s="16"/>
      <c r="I3" s="18" t="s">
        <v>413</v>
      </c>
    </row>
    <row r="4" customFormat="false" ht="15" hidden="false" customHeight="false" outlineLevel="0" collapsed="false">
      <c r="A4" s="11" t="s">
        <v>414</v>
      </c>
      <c r="B4" s="12" t="s">
        <v>415</v>
      </c>
      <c r="C4" s="19" t="s">
        <v>416</v>
      </c>
      <c r="D4" s="12" t="n">
        <v>18</v>
      </c>
      <c r="E4" s="11" t="s">
        <v>417</v>
      </c>
      <c r="F4" s="19" t="s">
        <v>418</v>
      </c>
      <c r="G4" s="12" t="n">
        <v>1.5</v>
      </c>
      <c r="H4" s="12"/>
      <c r="I4" s="14" t="s">
        <v>419</v>
      </c>
    </row>
    <row r="5" customFormat="false" ht="26.85" hidden="false" customHeight="false" outlineLevel="0" collapsed="false">
      <c r="A5" s="15" t="s">
        <v>420</v>
      </c>
      <c r="B5" s="16" t="s">
        <v>421</v>
      </c>
      <c r="C5" s="20" t="s">
        <v>422</v>
      </c>
      <c r="D5" s="16" t="n">
        <v>40</v>
      </c>
      <c r="E5" s="15" t="s">
        <v>417</v>
      </c>
      <c r="F5" s="20" t="s">
        <v>423</v>
      </c>
      <c r="G5" s="16" t="n">
        <v>1.6</v>
      </c>
      <c r="H5" s="15" t="s">
        <v>424</v>
      </c>
      <c r="I5" s="18" t="s">
        <v>425</v>
      </c>
    </row>
    <row r="6" customFormat="false" ht="15" hidden="false" customHeight="false" outlineLevel="0" collapsed="false">
      <c r="A6" s="11" t="s">
        <v>426</v>
      </c>
      <c r="B6" s="12" t="s">
        <v>427</v>
      </c>
      <c r="C6" s="19" t="s">
        <v>428</v>
      </c>
      <c r="D6" s="12" t="n">
        <v>30</v>
      </c>
      <c r="E6" s="11" t="s">
        <v>429</v>
      </c>
      <c r="F6" s="19" t="s">
        <v>430</v>
      </c>
      <c r="G6" s="12" t="n">
        <v>1.3</v>
      </c>
      <c r="H6" s="12"/>
      <c r="I6" s="14" t="s">
        <v>431</v>
      </c>
    </row>
    <row r="7" customFormat="false" ht="15" hidden="false" customHeight="false" outlineLevel="0" collapsed="false">
      <c r="A7" s="15" t="s">
        <v>432</v>
      </c>
      <c r="B7" s="16" t="s">
        <v>433</v>
      </c>
      <c r="C7" s="20" t="s">
        <v>434</v>
      </c>
      <c r="D7" s="16" t="n">
        <v>25</v>
      </c>
      <c r="E7" s="15" t="s">
        <v>435</v>
      </c>
      <c r="F7" s="20" t="s">
        <v>436</v>
      </c>
      <c r="G7" s="16" t="n">
        <v>1</v>
      </c>
      <c r="H7" s="15" t="s">
        <v>437</v>
      </c>
      <c r="I7" s="18" t="s">
        <v>438</v>
      </c>
    </row>
    <row r="8" customFormat="false" ht="26.85" hidden="false" customHeight="false" outlineLevel="0" collapsed="false">
      <c r="A8" s="11" t="s">
        <v>439</v>
      </c>
      <c r="B8" s="12" t="s">
        <v>440</v>
      </c>
      <c r="C8" s="19" t="s">
        <v>441</v>
      </c>
      <c r="D8" s="12" t="n">
        <v>6</v>
      </c>
      <c r="E8" s="11" t="s">
        <v>442</v>
      </c>
      <c r="F8" s="14"/>
      <c r="G8" s="12" t="n">
        <v>1.2</v>
      </c>
      <c r="H8" s="11" t="s">
        <v>443</v>
      </c>
      <c r="I8" s="14" t="s">
        <v>444</v>
      </c>
    </row>
  </sheetData>
  <autoFilter ref="A1:I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40"/>
    <col collapsed="false" customWidth="true" hidden="false" outlineLevel="0" max="7" min="7" style="0" width="50"/>
  </cols>
  <sheetData>
    <row r="1" customFormat="false" ht="24" hidden="false" customHeight="true" outlineLevel="0" collapsed="false">
      <c r="A1" s="9" t="s">
        <v>37</v>
      </c>
      <c r="B1" s="10" t="s">
        <v>38</v>
      </c>
      <c r="C1" s="10" t="s">
        <v>445</v>
      </c>
      <c r="D1" s="10" t="s">
        <v>446</v>
      </c>
      <c r="E1" s="10" t="s">
        <v>447</v>
      </c>
      <c r="F1" s="10" t="s">
        <v>448</v>
      </c>
      <c r="G1" s="10" t="s">
        <v>48</v>
      </c>
    </row>
    <row r="2" customFormat="false" ht="23.85" hidden="false" customHeight="false" outlineLevel="0" collapsed="false">
      <c r="A2" s="11" t="s">
        <v>449</v>
      </c>
      <c r="B2" s="12" t="s">
        <v>450</v>
      </c>
      <c r="C2" s="13" t="n">
        <v>75000</v>
      </c>
      <c r="D2" s="12" t="n">
        <v>2</v>
      </c>
      <c r="E2" s="12" t="n">
        <v>6</v>
      </c>
      <c r="F2" s="19" t="s">
        <v>451</v>
      </c>
      <c r="G2" s="14" t="s">
        <v>452</v>
      </c>
    </row>
    <row r="3" customFormat="false" ht="35.05" hidden="false" customHeight="false" outlineLevel="0" collapsed="false">
      <c r="A3" s="15" t="s">
        <v>453</v>
      </c>
      <c r="B3" s="16" t="s">
        <v>454</v>
      </c>
      <c r="C3" s="17" t="n">
        <v>30000</v>
      </c>
      <c r="D3" s="16" t="n">
        <v>2</v>
      </c>
      <c r="E3" s="16" t="n">
        <v>4</v>
      </c>
      <c r="F3" s="20" t="s">
        <v>455</v>
      </c>
      <c r="G3" s="18" t="s">
        <v>456</v>
      </c>
    </row>
    <row r="4" customFormat="false" ht="26.85" hidden="false" customHeight="false" outlineLevel="0" collapsed="false">
      <c r="A4" s="11" t="s">
        <v>457</v>
      </c>
      <c r="B4" s="12" t="s">
        <v>458</v>
      </c>
      <c r="C4" s="13" t="n">
        <v>120000</v>
      </c>
      <c r="D4" s="12" t="n">
        <v>3</v>
      </c>
      <c r="E4" s="12" t="n">
        <v>8</v>
      </c>
      <c r="F4" s="19" t="s">
        <v>459</v>
      </c>
      <c r="G4" s="14" t="s">
        <v>460</v>
      </c>
    </row>
    <row r="5" customFormat="false" ht="26.85" hidden="false" customHeight="false" outlineLevel="0" collapsed="false">
      <c r="A5" s="15" t="s">
        <v>461</v>
      </c>
      <c r="B5" s="16" t="s">
        <v>462</v>
      </c>
      <c r="C5" s="17" t="n">
        <v>105000</v>
      </c>
      <c r="D5" s="16" t="n">
        <v>2</v>
      </c>
      <c r="E5" s="16" t="n">
        <v>6</v>
      </c>
      <c r="F5" s="20" t="s">
        <v>463</v>
      </c>
      <c r="G5" s="18" t="s">
        <v>464</v>
      </c>
    </row>
    <row r="6" customFormat="false" ht="35.05" hidden="false" customHeight="false" outlineLevel="0" collapsed="false">
      <c r="A6" s="11" t="s">
        <v>465</v>
      </c>
      <c r="B6" s="12" t="s">
        <v>466</v>
      </c>
      <c r="C6" s="13" t="n">
        <v>45000</v>
      </c>
      <c r="D6" s="12" t="n">
        <v>4</v>
      </c>
      <c r="E6" s="12" t="n">
        <v>4</v>
      </c>
      <c r="F6" s="19" t="s">
        <v>467</v>
      </c>
      <c r="G6" s="14" t="s">
        <v>468</v>
      </c>
    </row>
    <row r="7" customFormat="false" ht="26.85" hidden="false" customHeight="false" outlineLevel="0" collapsed="false">
      <c r="A7" s="15" t="s">
        <v>469</v>
      </c>
      <c r="B7" s="16" t="s">
        <v>470</v>
      </c>
      <c r="C7" s="17" t="n">
        <v>240000</v>
      </c>
      <c r="D7" s="16" t="n">
        <v>6</v>
      </c>
      <c r="E7" s="16" t="n">
        <v>10</v>
      </c>
      <c r="F7" s="20" t="s">
        <v>471</v>
      </c>
      <c r="G7" s="18" t="s">
        <v>472</v>
      </c>
    </row>
    <row r="8" customFormat="false" ht="26.85" hidden="false" customHeight="false" outlineLevel="0" collapsed="false">
      <c r="A8" s="11" t="s">
        <v>473</v>
      </c>
      <c r="B8" s="12" t="s">
        <v>474</v>
      </c>
      <c r="C8" s="13" t="n">
        <v>90000</v>
      </c>
      <c r="D8" s="12" t="n">
        <v>2</v>
      </c>
      <c r="E8" s="12" t="n">
        <v>6</v>
      </c>
      <c r="F8" s="19" t="s">
        <v>475</v>
      </c>
      <c r="G8" s="14" t="s">
        <v>476</v>
      </c>
    </row>
  </sheetData>
  <autoFilter ref="A1:G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36"/>
    <col collapsed="false" customWidth="true" hidden="false" outlineLevel="0" max="6" min="6" style="0" width="50"/>
  </cols>
  <sheetData>
    <row r="1" customFormat="false" ht="24" hidden="false" customHeight="true" outlineLevel="0" collapsed="false">
      <c r="A1" s="9" t="s">
        <v>37</v>
      </c>
      <c r="B1" s="10" t="s">
        <v>38</v>
      </c>
      <c r="C1" s="10" t="s">
        <v>445</v>
      </c>
      <c r="D1" s="10" t="s">
        <v>44</v>
      </c>
      <c r="E1" s="10" t="s">
        <v>448</v>
      </c>
      <c r="F1" s="10" t="s">
        <v>48</v>
      </c>
    </row>
    <row r="2" customFormat="false" ht="26.85" hidden="false" customHeight="false" outlineLevel="0" collapsed="false">
      <c r="A2" s="11" t="s">
        <v>477</v>
      </c>
      <c r="B2" s="12" t="s">
        <v>478</v>
      </c>
      <c r="C2" s="13" t="n">
        <v>24000</v>
      </c>
      <c r="D2" s="13" t="n">
        <v>1500</v>
      </c>
      <c r="E2" s="19" t="s">
        <v>479</v>
      </c>
      <c r="F2" s="14" t="s">
        <v>480</v>
      </c>
    </row>
    <row r="3" customFormat="false" ht="26.85" hidden="false" customHeight="false" outlineLevel="0" collapsed="false">
      <c r="A3" s="15" t="s">
        <v>481</v>
      </c>
      <c r="B3" s="16" t="s">
        <v>482</v>
      </c>
      <c r="C3" s="17" t="n">
        <v>18000</v>
      </c>
      <c r="D3" s="17" t="n">
        <v>900</v>
      </c>
      <c r="E3" s="20" t="s">
        <v>483</v>
      </c>
      <c r="F3" s="18" t="s">
        <v>484</v>
      </c>
    </row>
    <row r="4" customFormat="false" ht="26.85" hidden="false" customHeight="false" outlineLevel="0" collapsed="false">
      <c r="A4" s="11" t="s">
        <v>485</v>
      </c>
      <c r="B4" s="12" t="s">
        <v>486</v>
      </c>
      <c r="C4" s="13" t="n">
        <v>45000</v>
      </c>
      <c r="D4" s="13" t="n">
        <v>1200</v>
      </c>
      <c r="E4" s="19" t="s">
        <v>487</v>
      </c>
      <c r="F4" s="14" t="s">
        <v>488</v>
      </c>
    </row>
    <row r="5" customFormat="false" ht="26.85" hidden="false" customHeight="false" outlineLevel="0" collapsed="false">
      <c r="A5" s="15" t="s">
        <v>489</v>
      </c>
      <c r="B5" s="16" t="s">
        <v>490</v>
      </c>
      <c r="C5" s="17" t="n">
        <v>36000</v>
      </c>
      <c r="D5" s="17" t="n">
        <v>1200</v>
      </c>
      <c r="E5" s="20" t="s">
        <v>491</v>
      </c>
      <c r="F5" s="18" t="s">
        <v>492</v>
      </c>
    </row>
    <row r="6" customFormat="false" ht="26.85" hidden="false" customHeight="false" outlineLevel="0" collapsed="false">
      <c r="A6" s="11" t="s">
        <v>493</v>
      </c>
      <c r="B6" s="12" t="s">
        <v>494</v>
      </c>
      <c r="C6" s="13" t="n">
        <v>30000</v>
      </c>
      <c r="D6" s="13" t="n">
        <v>900</v>
      </c>
      <c r="E6" s="19" t="s">
        <v>495</v>
      </c>
      <c r="F6" s="14" t="s">
        <v>496</v>
      </c>
    </row>
    <row r="7" customFormat="false" ht="26.85" hidden="false" customHeight="false" outlineLevel="0" collapsed="false">
      <c r="A7" s="15" t="s">
        <v>497</v>
      </c>
      <c r="B7" s="16" t="s">
        <v>498</v>
      </c>
      <c r="C7" s="17" t="n">
        <v>60000</v>
      </c>
      <c r="D7" s="17" t="n">
        <v>1500</v>
      </c>
      <c r="E7" s="20" t="s">
        <v>499</v>
      </c>
      <c r="F7" s="18" t="s">
        <v>500</v>
      </c>
    </row>
    <row r="8" customFormat="false" ht="26.85" hidden="false" customHeight="false" outlineLevel="0" collapsed="false">
      <c r="A8" s="11" t="s">
        <v>501</v>
      </c>
      <c r="B8" s="12" t="s">
        <v>502</v>
      </c>
      <c r="C8" s="13" t="n">
        <v>27000</v>
      </c>
      <c r="D8" s="13" t="n">
        <v>900</v>
      </c>
      <c r="E8" s="19" t="s">
        <v>503</v>
      </c>
      <c r="F8" s="14" t="s">
        <v>504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44"/>
    <col collapsed="false" customWidth="true" hidden="false" outlineLevel="0" max="8" min="8" style="0" width="50"/>
  </cols>
  <sheetData>
    <row r="1" customFormat="false" ht="24" hidden="false" customHeight="true" outlineLevel="0" collapsed="false">
      <c r="A1" s="9" t="s">
        <v>37</v>
      </c>
      <c r="B1" s="10" t="s">
        <v>38</v>
      </c>
      <c r="C1" s="10" t="s">
        <v>505</v>
      </c>
      <c r="D1" s="10" t="s">
        <v>506</v>
      </c>
      <c r="E1" s="10" t="s">
        <v>507</v>
      </c>
      <c r="F1" s="10" t="s">
        <v>508</v>
      </c>
      <c r="G1" s="10" t="s">
        <v>448</v>
      </c>
      <c r="H1" s="10" t="s">
        <v>48</v>
      </c>
    </row>
    <row r="2" customFormat="false" ht="15" hidden="false" customHeight="false" outlineLevel="0" collapsed="false">
      <c r="A2" s="11" t="s">
        <v>99</v>
      </c>
      <c r="B2" s="12" t="s">
        <v>509</v>
      </c>
      <c r="C2" s="12" t="s">
        <v>510</v>
      </c>
      <c r="D2" s="12" t="n">
        <v>30</v>
      </c>
      <c r="E2" s="12" t="n">
        <v>1</v>
      </c>
      <c r="F2" s="14"/>
      <c r="G2" s="14" t="s">
        <v>511</v>
      </c>
      <c r="H2" s="14" t="s">
        <v>512</v>
      </c>
    </row>
    <row r="3" customFormat="false" ht="26.85" hidden="false" customHeight="false" outlineLevel="0" collapsed="false">
      <c r="A3" s="15" t="s">
        <v>513</v>
      </c>
      <c r="B3" s="16" t="s">
        <v>514</v>
      </c>
      <c r="C3" s="16" t="s">
        <v>510</v>
      </c>
      <c r="D3" s="16" t="n">
        <v>40</v>
      </c>
      <c r="E3" s="16" t="n">
        <v>1</v>
      </c>
      <c r="F3" s="18"/>
      <c r="G3" s="20" t="s">
        <v>515</v>
      </c>
      <c r="H3" s="18" t="s">
        <v>516</v>
      </c>
    </row>
    <row r="4" customFormat="false" ht="15" hidden="false" customHeight="false" outlineLevel="0" collapsed="false">
      <c r="A4" s="11" t="s">
        <v>242</v>
      </c>
      <c r="B4" s="11" t="s">
        <v>240</v>
      </c>
      <c r="C4" s="12" t="s">
        <v>510</v>
      </c>
      <c r="D4" s="12" t="n">
        <v>180</v>
      </c>
      <c r="E4" s="12" t="n">
        <v>3</v>
      </c>
      <c r="F4" s="19" t="s">
        <v>99</v>
      </c>
      <c r="G4" s="14" t="s">
        <v>517</v>
      </c>
      <c r="H4" s="14" t="s">
        <v>518</v>
      </c>
    </row>
    <row r="5" customFormat="false" ht="26.85" hidden="false" customHeight="false" outlineLevel="0" collapsed="false">
      <c r="A5" s="15" t="s">
        <v>145</v>
      </c>
      <c r="B5" s="16" t="s">
        <v>519</v>
      </c>
      <c r="C5" s="16" t="s">
        <v>510</v>
      </c>
      <c r="D5" s="16" t="n">
        <v>135</v>
      </c>
      <c r="E5" s="16" t="n">
        <v>2</v>
      </c>
      <c r="F5" s="20" t="s">
        <v>513</v>
      </c>
      <c r="G5" s="18" t="s">
        <v>520</v>
      </c>
      <c r="H5" s="18" t="s">
        <v>521</v>
      </c>
    </row>
    <row r="6" customFormat="false" ht="26.85" hidden="false" customHeight="false" outlineLevel="0" collapsed="false">
      <c r="A6" s="11" t="s">
        <v>151</v>
      </c>
      <c r="B6" s="12" t="s">
        <v>522</v>
      </c>
      <c r="C6" s="12" t="s">
        <v>510</v>
      </c>
      <c r="D6" s="12" t="n">
        <v>135</v>
      </c>
      <c r="E6" s="12" t="n">
        <v>2</v>
      </c>
      <c r="F6" s="19" t="s">
        <v>513</v>
      </c>
      <c r="G6" s="14" t="s">
        <v>523</v>
      </c>
      <c r="H6" s="14" t="s">
        <v>524</v>
      </c>
    </row>
    <row r="7" customFormat="false" ht="26.85" hidden="false" customHeight="false" outlineLevel="0" collapsed="false">
      <c r="A7" s="15" t="s">
        <v>525</v>
      </c>
      <c r="B7" s="16" t="s">
        <v>526</v>
      </c>
      <c r="C7" s="16" t="s">
        <v>510</v>
      </c>
      <c r="D7" s="16" t="n">
        <v>165</v>
      </c>
      <c r="E7" s="16" t="n">
        <v>2</v>
      </c>
      <c r="F7" s="20" t="s">
        <v>513</v>
      </c>
      <c r="G7" s="20" t="s">
        <v>527</v>
      </c>
      <c r="H7" s="18" t="s">
        <v>528</v>
      </c>
    </row>
    <row r="8" customFormat="false" ht="26.85" hidden="false" customHeight="false" outlineLevel="0" collapsed="false">
      <c r="A8" s="11" t="s">
        <v>160</v>
      </c>
      <c r="B8" s="12" t="s">
        <v>529</v>
      </c>
      <c r="C8" s="12" t="s">
        <v>510</v>
      </c>
      <c r="D8" s="12" t="n">
        <v>180</v>
      </c>
      <c r="E8" s="12" t="n">
        <v>2</v>
      </c>
      <c r="F8" s="19" t="s">
        <v>151</v>
      </c>
      <c r="G8" s="14" t="s">
        <v>530</v>
      </c>
      <c r="H8" s="14" t="s">
        <v>531</v>
      </c>
    </row>
    <row r="9" customFormat="false" ht="15" hidden="false" customHeight="false" outlineLevel="0" collapsed="false">
      <c r="A9" s="15" t="s">
        <v>532</v>
      </c>
      <c r="B9" s="16" t="s">
        <v>533</v>
      </c>
      <c r="C9" s="16" t="s">
        <v>510</v>
      </c>
      <c r="D9" s="16" t="n">
        <v>270</v>
      </c>
      <c r="E9" s="16" t="n">
        <v>3</v>
      </c>
      <c r="F9" s="20" t="s">
        <v>151</v>
      </c>
      <c r="G9" s="20" t="s">
        <v>534</v>
      </c>
      <c r="H9" s="18" t="s">
        <v>535</v>
      </c>
    </row>
    <row r="10" customFormat="false" ht="15" hidden="false" customHeight="false" outlineLevel="0" collapsed="false">
      <c r="A10" s="11" t="s">
        <v>536</v>
      </c>
      <c r="B10" s="12" t="s">
        <v>537</v>
      </c>
      <c r="C10" s="12" t="s">
        <v>510</v>
      </c>
      <c r="D10" s="12" t="n">
        <v>330</v>
      </c>
      <c r="E10" s="12" t="n">
        <v>3</v>
      </c>
      <c r="F10" s="19" t="s">
        <v>538</v>
      </c>
      <c r="G10" s="19" t="s">
        <v>539</v>
      </c>
      <c r="H10" s="14" t="s">
        <v>540</v>
      </c>
    </row>
    <row r="11" customFormat="false" ht="26.85" hidden="false" customHeight="false" outlineLevel="0" collapsed="false">
      <c r="A11" s="15" t="s">
        <v>541</v>
      </c>
      <c r="B11" s="16" t="s">
        <v>542</v>
      </c>
      <c r="C11" s="16" t="s">
        <v>510</v>
      </c>
      <c r="D11" s="16" t="n">
        <v>600</v>
      </c>
      <c r="E11" s="16" t="n">
        <v>4</v>
      </c>
      <c r="F11" s="20" t="s">
        <v>543</v>
      </c>
      <c r="G11" s="20" t="s">
        <v>544</v>
      </c>
      <c r="H11" s="18" t="s">
        <v>545</v>
      </c>
    </row>
    <row r="12" customFormat="false" ht="26.85" hidden="false" customHeight="false" outlineLevel="0" collapsed="false">
      <c r="A12" s="11" t="s">
        <v>546</v>
      </c>
      <c r="B12" s="12" t="s">
        <v>547</v>
      </c>
      <c r="C12" s="12" t="s">
        <v>548</v>
      </c>
      <c r="D12" s="12" t="n">
        <v>35</v>
      </c>
      <c r="E12" s="12" t="n">
        <v>1</v>
      </c>
      <c r="F12" s="14"/>
      <c r="G12" s="19" t="s">
        <v>549</v>
      </c>
      <c r="H12" s="14" t="s">
        <v>550</v>
      </c>
    </row>
    <row r="13" customFormat="false" ht="26.85" hidden="false" customHeight="false" outlineLevel="0" collapsed="false">
      <c r="A13" s="15" t="s">
        <v>551</v>
      </c>
      <c r="B13" s="16" t="s">
        <v>552</v>
      </c>
      <c r="C13" s="16" t="s">
        <v>548</v>
      </c>
      <c r="D13" s="16" t="n">
        <v>40</v>
      </c>
      <c r="E13" s="16" t="n">
        <v>1</v>
      </c>
      <c r="F13" s="18"/>
      <c r="G13" s="20" t="s">
        <v>553</v>
      </c>
      <c r="H13" s="18" t="s">
        <v>554</v>
      </c>
    </row>
    <row r="14" customFormat="false" ht="26.85" hidden="false" customHeight="false" outlineLevel="0" collapsed="false">
      <c r="A14" s="11" t="s">
        <v>135</v>
      </c>
      <c r="B14" s="12" t="s">
        <v>555</v>
      </c>
      <c r="C14" s="12" t="s">
        <v>548</v>
      </c>
      <c r="D14" s="12" t="n">
        <v>195</v>
      </c>
      <c r="E14" s="12" t="n">
        <v>2</v>
      </c>
      <c r="F14" s="19" t="s">
        <v>546</v>
      </c>
      <c r="G14" s="14" t="s">
        <v>556</v>
      </c>
      <c r="H14" s="14" t="s">
        <v>557</v>
      </c>
    </row>
    <row r="15" customFormat="false" ht="26.85" hidden="false" customHeight="false" outlineLevel="0" collapsed="false">
      <c r="A15" s="15" t="s">
        <v>130</v>
      </c>
      <c r="B15" s="16" t="s">
        <v>558</v>
      </c>
      <c r="C15" s="16" t="s">
        <v>548</v>
      </c>
      <c r="D15" s="16" t="n">
        <v>270</v>
      </c>
      <c r="E15" s="16" t="n">
        <v>3</v>
      </c>
      <c r="F15" s="20" t="s">
        <v>551</v>
      </c>
      <c r="G15" s="18" t="s">
        <v>559</v>
      </c>
      <c r="H15" s="18" t="s">
        <v>560</v>
      </c>
    </row>
    <row r="16" customFormat="false" ht="26.85" hidden="false" customHeight="false" outlineLevel="0" collapsed="false">
      <c r="A16" s="11" t="s">
        <v>247</v>
      </c>
      <c r="B16" s="12" t="s">
        <v>561</v>
      </c>
      <c r="C16" s="12" t="s">
        <v>548</v>
      </c>
      <c r="D16" s="12" t="n">
        <v>240</v>
      </c>
      <c r="E16" s="12" t="n">
        <v>2</v>
      </c>
      <c r="F16" s="19" t="s">
        <v>551</v>
      </c>
      <c r="G16" s="14" t="s">
        <v>562</v>
      </c>
      <c r="H16" s="14" t="s">
        <v>563</v>
      </c>
    </row>
    <row r="17" customFormat="false" ht="26.85" hidden="false" customHeight="false" outlineLevel="0" collapsed="false">
      <c r="A17" s="15" t="s">
        <v>140</v>
      </c>
      <c r="B17" s="16" t="s">
        <v>233</v>
      </c>
      <c r="C17" s="16" t="s">
        <v>548</v>
      </c>
      <c r="D17" s="16" t="n">
        <v>390</v>
      </c>
      <c r="E17" s="16" t="n">
        <v>3</v>
      </c>
      <c r="F17" s="20" t="s">
        <v>135</v>
      </c>
      <c r="G17" s="18" t="s">
        <v>564</v>
      </c>
      <c r="H17" s="18" t="s">
        <v>565</v>
      </c>
    </row>
    <row r="18" customFormat="false" ht="26.85" hidden="false" customHeight="false" outlineLevel="0" collapsed="false">
      <c r="A18" s="11" t="s">
        <v>566</v>
      </c>
      <c r="B18" s="12" t="s">
        <v>567</v>
      </c>
      <c r="C18" s="12" t="s">
        <v>548</v>
      </c>
      <c r="D18" s="12" t="n">
        <v>480</v>
      </c>
      <c r="E18" s="12" t="n">
        <v>4</v>
      </c>
      <c r="F18" s="19" t="s">
        <v>568</v>
      </c>
      <c r="G18" s="19" t="s">
        <v>569</v>
      </c>
      <c r="H18" s="14" t="s">
        <v>570</v>
      </c>
    </row>
    <row r="19" customFormat="false" ht="26.85" hidden="false" customHeight="false" outlineLevel="0" collapsed="false">
      <c r="A19" s="15" t="s">
        <v>571</v>
      </c>
      <c r="B19" s="16" t="s">
        <v>572</v>
      </c>
      <c r="C19" s="16" t="s">
        <v>573</v>
      </c>
      <c r="D19" s="16" t="n">
        <v>35</v>
      </c>
      <c r="E19" s="16" t="n">
        <v>1</v>
      </c>
      <c r="F19" s="18"/>
      <c r="G19" s="20" t="s">
        <v>574</v>
      </c>
      <c r="H19" s="18" t="s">
        <v>575</v>
      </c>
    </row>
    <row r="20" customFormat="false" ht="26.85" hidden="false" customHeight="false" outlineLevel="0" collapsed="false">
      <c r="A20" s="11" t="s">
        <v>576</v>
      </c>
      <c r="B20" s="12" t="s">
        <v>577</v>
      </c>
      <c r="C20" s="12" t="s">
        <v>573</v>
      </c>
      <c r="D20" s="12" t="n">
        <v>40</v>
      </c>
      <c r="E20" s="12" t="n">
        <v>1</v>
      </c>
      <c r="F20" s="14"/>
      <c r="G20" s="19" t="s">
        <v>578</v>
      </c>
      <c r="H20" s="14" t="s">
        <v>579</v>
      </c>
    </row>
    <row r="21" customFormat="false" ht="26.85" hidden="false" customHeight="false" outlineLevel="0" collapsed="false">
      <c r="A21" s="15" t="s">
        <v>580</v>
      </c>
      <c r="B21" s="16" t="s">
        <v>581</v>
      </c>
      <c r="C21" s="16" t="s">
        <v>573</v>
      </c>
      <c r="D21" s="16" t="n">
        <v>50</v>
      </c>
      <c r="E21" s="16" t="n">
        <v>1</v>
      </c>
      <c r="F21" s="18"/>
      <c r="G21" s="20" t="s">
        <v>582</v>
      </c>
      <c r="H21" s="18" t="s">
        <v>583</v>
      </c>
    </row>
    <row r="22" customFormat="false" ht="26.85" hidden="false" customHeight="false" outlineLevel="0" collapsed="false">
      <c r="A22" s="11" t="s">
        <v>584</v>
      </c>
      <c r="B22" s="12" t="s">
        <v>585</v>
      </c>
      <c r="C22" s="12" t="s">
        <v>573</v>
      </c>
      <c r="D22" s="12" t="n">
        <v>60</v>
      </c>
      <c r="E22" s="12" t="n">
        <v>2</v>
      </c>
      <c r="F22" s="19" t="s">
        <v>580</v>
      </c>
      <c r="G22" s="19" t="s">
        <v>586</v>
      </c>
      <c r="H22" s="14" t="s">
        <v>587</v>
      </c>
    </row>
    <row r="23" customFormat="false" ht="26.85" hidden="false" customHeight="false" outlineLevel="0" collapsed="false">
      <c r="A23" s="15" t="s">
        <v>588</v>
      </c>
      <c r="B23" s="16" t="s">
        <v>589</v>
      </c>
      <c r="C23" s="16" t="s">
        <v>573</v>
      </c>
      <c r="D23" s="16" t="n">
        <v>225</v>
      </c>
      <c r="E23" s="16" t="n">
        <v>2</v>
      </c>
      <c r="F23" s="20" t="s">
        <v>576</v>
      </c>
      <c r="G23" s="20" t="s">
        <v>590</v>
      </c>
      <c r="H23" s="18" t="s">
        <v>591</v>
      </c>
    </row>
    <row r="24" customFormat="false" ht="26.85" hidden="false" customHeight="false" outlineLevel="0" collapsed="false">
      <c r="A24" s="11" t="s">
        <v>592</v>
      </c>
      <c r="B24" s="12" t="s">
        <v>593</v>
      </c>
      <c r="C24" s="12" t="s">
        <v>573</v>
      </c>
      <c r="D24" s="12" t="n">
        <v>135</v>
      </c>
      <c r="E24" s="12" t="n">
        <v>2</v>
      </c>
      <c r="F24" s="19" t="s">
        <v>576</v>
      </c>
      <c r="G24" s="19" t="s">
        <v>594</v>
      </c>
      <c r="H24" s="14" t="s">
        <v>595</v>
      </c>
    </row>
    <row r="25" customFormat="false" ht="26.85" hidden="false" customHeight="false" outlineLevel="0" collapsed="false">
      <c r="A25" s="15" t="s">
        <v>596</v>
      </c>
      <c r="B25" s="16" t="s">
        <v>597</v>
      </c>
      <c r="C25" s="16" t="s">
        <v>573</v>
      </c>
      <c r="D25" s="16" t="n">
        <v>210</v>
      </c>
      <c r="E25" s="16" t="n">
        <v>2</v>
      </c>
      <c r="F25" s="20" t="s">
        <v>598</v>
      </c>
      <c r="G25" s="20" t="s">
        <v>599</v>
      </c>
      <c r="H25" s="18" t="s">
        <v>600</v>
      </c>
    </row>
    <row r="26" customFormat="false" ht="26.85" hidden="false" customHeight="false" outlineLevel="0" collapsed="false">
      <c r="A26" s="11" t="s">
        <v>601</v>
      </c>
      <c r="B26" s="12" t="s">
        <v>602</v>
      </c>
      <c r="C26" s="12" t="s">
        <v>573</v>
      </c>
      <c r="D26" s="12" t="n">
        <v>375</v>
      </c>
      <c r="E26" s="12" t="n">
        <v>3</v>
      </c>
      <c r="F26" s="19" t="s">
        <v>603</v>
      </c>
      <c r="G26" s="19" t="s">
        <v>604</v>
      </c>
      <c r="H26" s="14" t="s">
        <v>605</v>
      </c>
    </row>
    <row r="27" customFormat="false" ht="26.85" hidden="false" customHeight="false" outlineLevel="0" collapsed="false">
      <c r="A27" s="15" t="s">
        <v>606</v>
      </c>
      <c r="B27" s="16" t="s">
        <v>607</v>
      </c>
      <c r="C27" s="16" t="s">
        <v>573</v>
      </c>
      <c r="D27" s="16" t="n">
        <v>750</v>
      </c>
      <c r="E27" s="16" t="n">
        <v>5</v>
      </c>
      <c r="F27" s="20" t="s">
        <v>608</v>
      </c>
      <c r="G27" s="20" t="s">
        <v>609</v>
      </c>
      <c r="H27" s="18" t="s">
        <v>610</v>
      </c>
    </row>
  </sheetData>
  <autoFilter ref="A1:H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7"/>
    <col collapsed="false" customWidth="true" hidden="false" outlineLevel="0" max="6" min="6" style="0" width="46"/>
    <col collapsed="false" customWidth="true" hidden="false" outlineLevel="0" max="7" min="7" style="0" width="30"/>
    <col collapsed="false" customWidth="true" hidden="false" outlineLevel="0" max="8" min="8" style="0" width="8"/>
    <col collapsed="false" customWidth="true" hidden="false" outlineLevel="0" max="9" min="9" style="0" width="18"/>
  </cols>
  <sheetData>
    <row r="1" customFormat="false" ht="24" hidden="false" customHeight="true" outlineLevel="0" collapsed="false">
      <c r="A1" s="9" t="s">
        <v>37</v>
      </c>
      <c r="B1" s="10" t="s">
        <v>38</v>
      </c>
      <c r="C1" s="10" t="s">
        <v>611</v>
      </c>
      <c r="D1" s="10" t="s">
        <v>612</v>
      </c>
      <c r="E1" s="10" t="s">
        <v>613</v>
      </c>
      <c r="F1" s="10" t="s">
        <v>614</v>
      </c>
      <c r="G1" s="10" t="s">
        <v>615</v>
      </c>
      <c r="H1" s="10" t="s">
        <v>616</v>
      </c>
      <c r="I1" s="10" t="s">
        <v>617</v>
      </c>
    </row>
    <row r="2" customFormat="false" ht="15" hidden="false" customHeight="false" outlineLevel="0" collapsed="false">
      <c r="A2" s="11" t="s">
        <v>618</v>
      </c>
      <c r="B2" s="12" t="s">
        <v>619</v>
      </c>
      <c r="C2" s="12" t="s">
        <v>620</v>
      </c>
      <c r="D2" s="12" t="s">
        <v>621</v>
      </c>
      <c r="E2" s="12"/>
      <c r="F2" s="14" t="s">
        <v>622</v>
      </c>
      <c r="G2" s="14"/>
      <c r="H2" s="11" t="s">
        <v>623</v>
      </c>
      <c r="I2" s="12"/>
    </row>
    <row r="3" customFormat="false" ht="15" hidden="false" customHeight="false" outlineLevel="0" collapsed="false">
      <c r="A3" s="15" t="s">
        <v>624</v>
      </c>
      <c r="B3" s="16" t="s">
        <v>625</v>
      </c>
      <c r="C3" s="16" t="s">
        <v>620</v>
      </c>
      <c r="D3" s="16" t="s">
        <v>621</v>
      </c>
      <c r="E3" s="16"/>
      <c r="F3" s="18" t="s">
        <v>626</v>
      </c>
      <c r="G3" s="18"/>
      <c r="H3" s="15" t="s">
        <v>627</v>
      </c>
      <c r="I3" s="16"/>
    </row>
    <row r="4" customFormat="false" ht="15" hidden="false" customHeight="false" outlineLevel="0" collapsed="false">
      <c r="A4" s="11" t="s">
        <v>628</v>
      </c>
      <c r="B4" s="12" t="s">
        <v>629</v>
      </c>
      <c r="C4" s="12" t="s">
        <v>620</v>
      </c>
      <c r="D4" s="12" t="s">
        <v>630</v>
      </c>
      <c r="E4" s="12"/>
      <c r="F4" s="14" t="s">
        <v>631</v>
      </c>
      <c r="G4" s="14"/>
      <c r="H4" s="11" t="s">
        <v>355</v>
      </c>
      <c r="I4" s="12" t="s">
        <v>629</v>
      </c>
    </row>
    <row r="5" customFormat="false" ht="15" hidden="false" customHeight="false" outlineLevel="0" collapsed="false">
      <c r="A5" s="15" t="s">
        <v>632</v>
      </c>
      <c r="B5" s="16" t="s">
        <v>633</v>
      </c>
      <c r="C5" s="16" t="s">
        <v>620</v>
      </c>
      <c r="D5" s="16" t="s">
        <v>621</v>
      </c>
      <c r="E5" s="16"/>
      <c r="F5" s="18" t="s">
        <v>634</v>
      </c>
      <c r="G5" s="18"/>
      <c r="H5" s="15" t="s">
        <v>635</v>
      </c>
      <c r="I5" s="16"/>
    </row>
    <row r="6" customFormat="false" ht="15" hidden="false" customHeight="false" outlineLevel="0" collapsed="false">
      <c r="A6" s="11" t="s">
        <v>636</v>
      </c>
      <c r="B6" s="12" t="s">
        <v>637</v>
      </c>
      <c r="C6" s="12" t="s">
        <v>620</v>
      </c>
      <c r="D6" s="12" t="s">
        <v>638</v>
      </c>
      <c r="E6" s="12"/>
      <c r="F6" s="14" t="s">
        <v>639</v>
      </c>
      <c r="G6" s="14"/>
      <c r="H6" s="11" t="s">
        <v>635</v>
      </c>
      <c r="I6" s="12"/>
    </row>
    <row r="7" customFormat="false" ht="15" hidden="false" customHeight="false" outlineLevel="0" collapsed="false">
      <c r="A7" s="15" t="s">
        <v>640</v>
      </c>
      <c r="B7" s="16" t="s">
        <v>641</v>
      </c>
      <c r="C7" s="16" t="s">
        <v>620</v>
      </c>
      <c r="D7" s="16" t="s">
        <v>630</v>
      </c>
      <c r="E7" s="16"/>
      <c r="F7" s="18" t="s">
        <v>642</v>
      </c>
      <c r="G7" s="18"/>
      <c r="H7" s="15" t="s">
        <v>643</v>
      </c>
      <c r="I7" s="16" t="s">
        <v>644</v>
      </c>
    </row>
    <row r="8" customFormat="false" ht="15" hidden="false" customHeight="false" outlineLevel="0" collapsed="false">
      <c r="A8" s="11" t="s">
        <v>645</v>
      </c>
      <c r="B8" s="12" t="s">
        <v>646</v>
      </c>
      <c r="C8" s="12" t="s">
        <v>620</v>
      </c>
      <c r="D8" s="12" t="s">
        <v>638</v>
      </c>
      <c r="E8" s="12"/>
      <c r="F8" s="14" t="s">
        <v>647</v>
      </c>
      <c r="G8" s="14"/>
      <c r="H8" s="11" t="s">
        <v>648</v>
      </c>
      <c r="I8" s="12" t="s">
        <v>646</v>
      </c>
    </row>
    <row r="9" customFormat="false" ht="15" hidden="false" customHeight="false" outlineLevel="0" collapsed="false">
      <c r="A9" s="15" t="s">
        <v>649</v>
      </c>
      <c r="B9" s="16" t="s">
        <v>650</v>
      </c>
      <c r="C9" s="16" t="s">
        <v>620</v>
      </c>
      <c r="D9" s="16" t="s">
        <v>621</v>
      </c>
      <c r="E9" s="16"/>
      <c r="F9" s="18" t="s">
        <v>651</v>
      </c>
      <c r="G9" s="18"/>
      <c r="H9" s="15" t="s">
        <v>652</v>
      </c>
      <c r="I9" s="16"/>
    </row>
    <row r="10" customFormat="false" ht="15" hidden="false" customHeight="false" outlineLevel="0" collapsed="false">
      <c r="A10" s="11" t="s">
        <v>653</v>
      </c>
      <c r="B10" s="12" t="s">
        <v>654</v>
      </c>
      <c r="C10" s="12" t="s">
        <v>620</v>
      </c>
      <c r="D10" s="12" t="s">
        <v>638</v>
      </c>
      <c r="E10" s="12"/>
      <c r="F10" s="14" t="s">
        <v>655</v>
      </c>
      <c r="G10" s="14"/>
      <c r="H10" s="11" t="s">
        <v>652</v>
      </c>
      <c r="I10" s="12"/>
    </row>
    <row r="11" customFormat="false" ht="15" hidden="false" customHeight="false" outlineLevel="0" collapsed="false">
      <c r="A11" s="15" t="s">
        <v>656</v>
      </c>
      <c r="B11" s="16" t="s">
        <v>657</v>
      </c>
      <c r="C11" s="16" t="s">
        <v>620</v>
      </c>
      <c r="D11" s="16" t="s">
        <v>630</v>
      </c>
      <c r="E11" s="16"/>
      <c r="F11" s="18" t="s">
        <v>658</v>
      </c>
      <c r="G11" s="18"/>
      <c r="H11" s="15" t="s">
        <v>659</v>
      </c>
      <c r="I11" s="16" t="s">
        <v>660</v>
      </c>
    </row>
    <row r="12" customFormat="false" ht="15" hidden="false" customHeight="false" outlineLevel="0" collapsed="false">
      <c r="A12" s="11" t="s">
        <v>661</v>
      </c>
      <c r="B12" s="12" t="s">
        <v>662</v>
      </c>
      <c r="C12" s="12" t="s">
        <v>620</v>
      </c>
      <c r="D12" s="12" t="s">
        <v>621</v>
      </c>
      <c r="E12" s="12"/>
      <c r="F12" s="14" t="s">
        <v>663</v>
      </c>
      <c r="G12" s="14"/>
      <c r="H12" s="11" t="s">
        <v>664</v>
      </c>
      <c r="I12" s="12"/>
    </row>
    <row r="13" customFormat="false" ht="15" hidden="false" customHeight="false" outlineLevel="0" collapsed="false">
      <c r="A13" s="15" t="s">
        <v>665</v>
      </c>
      <c r="B13" s="16" t="s">
        <v>666</v>
      </c>
      <c r="C13" s="16" t="s">
        <v>620</v>
      </c>
      <c r="D13" s="16" t="s">
        <v>638</v>
      </c>
      <c r="E13" s="16"/>
      <c r="F13" s="18" t="s">
        <v>667</v>
      </c>
      <c r="G13" s="18"/>
      <c r="H13" s="15" t="s">
        <v>668</v>
      </c>
      <c r="I13" s="16"/>
    </row>
    <row r="14" customFormat="false" ht="15" hidden="false" customHeight="false" outlineLevel="0" collapsed="false">
      <c r="A14" s="11" t="s">
        <v>669</v>
      </c>
      <c r="B14" s="12" t="s">
        <v>670</v>
      </c>
      <c r="C14" s="12" t="s">
        <v>620</v>
      </c>
      <c r="D14" s="12" t="s">
        <v>630</v>
      </c>
      <c r="E14" s="12"/>
      <c r="F14" s="14" t="s">
        <v>671</v>
      </c>
      <c r="G14" s="14"/>
      <c r="H14" s="11" t="s">
        <v>672</v>
      </c>
      <c r="I14" s="12" t="s">
        <v>673</v>
      </c>
    </row>
    <row r="15" customFormat="false" ht="15" hidden="false" customHeight="false" outlineLevel="0" collapsed="false">
      <c r="A15" s="15" t="s">
        <v>674</v>
      </c>
      <c r="B15" s="16" t="s">
        <v>675</v>
      </c>
      <c r="C15" s="16" t="s">
        <v>620</v>
      </c>
      <c r="D15" s="16" t="s">
        <v>638</v>
      </c>
      <c r="E15" s="16"/>
      <c r="F15" s="18" t="s">
        <v>676</v>
      </c>
      <c r="G15" s="18"/>
      <c r="H15" s="15" t="s">
        <v>677</v>
      </c>
      <c r="I15" s="16"/>
    </row>
    <row r="16" customFormat="false" ht="15" hidden="false" customHeight="false" outlineLevel="0" collapsed="false">
      <c r="A16" s="11" t="s">
        <v>678</v>
      </c>
      <c r="B16" s="12" t="s">
        <v>679</v>
      </c>
      <c r="C16" s="12" t="s">
        <v>620</v>
      </c>
      <c r="D16" s="12" t="s">
        <v>621</v>
      </c>
      <c r="E16" s="12"/>
      <c r="F16" s="14" t="s">
        <v>680</v>
      </c>
      <c r="G16" s="14"/>
      <c r="H16" s="11" t="s">
        <v>681</v>
      </c>
      <c r="I16" s="12"/>
    </row>
    <row r="17" customFormat="false" ht="15" hidden="false" customHeight="false" outlineLevel="0" collapsed="false">
      <c r="A17" s="15" t="s">
        <v>682</v>
      </c>
      <c r="B17" s="16" t="s">
        <v>683</v>
      </c>
      <c r="C17" s="16" t="s">
        <v>620</v>
      </c>
      <c r="D17" s="16" t="s">
        <v>630</v>
      </c>
      <c r="E17" s="16"/>
      <c r="F17" s="18" t="s">
        <v>684</v>
      </c>
      <c r="G17" s="18"/>
      <c r="H17" s="15" t="s">
        <v>685</v>
      </c>
      <c r="I17" s="16" t="s">
        <v>686</v>
      </c>
    </row>
    <row r="18" customFormat="false" ht="15" hidden="false" customHeight="false" outlineLevel="0" collapsed="false">
      <c r="A18" s="11" t="s">
        <v>687</v>
      </c>
      <c r="B18" s="12" t="s">
        <v>688</v>
      </c>
      <c r="C18" s="12" t="s">
        <v>689</v>
      </c>
      <c r="D18" s="12" t="s">
        <v>638</v>
      </c>
      <c r="E18" s="12"/>
      <c r="F18" s="14" t="s">
        <v>690</v>
      </c>
      <c r="G18" s="14"/>
      <c r="H18" s="11" t="s">
        <v>691</v>
      </c>
      <c r="I18" s="12" t="s">
        <v>688</v>
      </c>
    </row>
    <row r="19" customFormat="false" ht="15" hidden="false" customHeight="false" outlineLevel="0" collapsed="false">
      <c r="A19" s="15" t="s">
        <v>692</v>
      </c>
      <c r="B19" s="16" t="s">
        <v>693</v>
      </c>
      <c r="C19" s="16" t="s">
        <v>689</v>
      </c>
      <c r="D19" s="16" t="s">
        <v>638</v>
      </c>
      <c r="E19" s="16"/>
      <c r="F19" s="18" t="s">
        <v>694</v>
      </c>
      <c r="G19" s="18"/>
      <c r="H19" s="15" t="s">
        <v>695</v>
      </c>
      <c r="I19" s="16"/>
    </row>
    <row r="20" customFormat="false" ht="15" hidden="false" customHeight="false" outlineLevel="0" collapsed="false">
      <c r="A20" s="11" t="s">
        <v>696</v>
      </c>
      <c r="B20" s="12" t="s">
        <v>697</v>
      </c>
      <c r="C20" s="12" t="s">
        <v>689</v>
      </c>
      <c r="D20" s="12" t="s">
        <v>621</v>
      </c>
      <c r="E20" s="12"/>
      <c r="F20" s="14" t="s">
        <v>698</v>
      </c>
      <c r="G20" s="14"/>
      <c r="H20" s="11" t="s">
        <v>699</v>
      </c>
      <c r="I20" s="12"/>
    </row>
    <row r="21" customFormat="false" ht="15" hidden="false" customHeight="false" outlineLevel="0" collapsed="false">
      <c r="A21" s="15" t="s">
        <v>700</v>
      </c>
      <c r="B21" s="16" t="s">
        <v>701</v>
      </c>
      <c r="C21" s="16" t="s">
        <v>689</v>
      </c>
      <c r="D21" s="16" t="s">
        <v>621</v>
      </c>
      <c r="E21" s="16"/>
      <c r="F21" s="18" t="s">
        <v>702</v>
      </c>
      <c r="G21" s="18"/>
      <c r="H21" s="15" t="s">
        <v>703</v>
      </c>
      <c r="I21" s="16" t="s">
        <v>701</v>
      </c>
    </row>
    <row r="22" customFormat="false" ht="15" hidden="false" customHeight="false" outlineLevel="0" collapsed="false">
      <c r="A22" s="11" t="s">
        <v>704</v>
      </c>
      <c r="B22" s="12" t="s">
        <v>705</v>
      </c>
      <c r="C22" s="12" t="s">
        <v>689</v>
      </c>
      <c r="D22" s="12" t="s">
        <v>638</v>
      </c>
      <c r="E22" s="12"/>
      <c r="F22" s="19" t="s">
        <v>706</v>
      </c>
      <c r="G22" s="14"/>
      <c r="H22" s="11" t="s">
        <v>707</v>
      </c>
      <c r="I22" s="12"/>
    </row>
    <row r="23" customFormat="false" ht="15" hidden="false" customHeight="false" outlineLevel="0" collapsed="false">
      <c r="A23" s="15" t="s">
        <v>708</v>
      </c>
      <c r="B23" s="16" t="s">
        <v>709</v>
      </c>
      <c r="C23" s="16" t="s">
        <v>689</v>
      </c>
      <c r="D23" s="16" t="s">
        <v>621</v>
      </c>
      <c r="E23" s="16"/>
      <c r="F23" s="18" t="s">
        <v>710</v>
      </c>
      <c r="G23" s="18"/>
      <c r="H23" s="15" t="s">
        <v>711</v>
      </c>
      <c r="I23" s="16"/>
    </row>
    <row r="24" customFormat="false" ht="15" hidden="false" customHeight="false" outlineLevel="0" collapsed="false">
      <c r="A24" s="11" t="s">
        <v>712</v>
      </c>
      <c r="B24" s="12" t="s">
        <v>713</v>
      </c>
      <c r="C24" s="12" t="s">
        <v>689</v>
      </c>
      <c r="D24" s="12" t="s">
        <v>638</v>
      </c>
      <c r="E24" s="12"/>
      <c r="F24" s="14" t="s">
        <v>714</v>
      </c>
      <c r="G24" s="14"/>
      <c r="H24" s="11" t="s">
        <v>715</v>
      </c>
      <c r="I24" s="12"/>
    </row>
    <row r="25" customFormat="false" ht="15" hidden="false" customHeight="false" outlineLevel="0" collapsed="false">
      <c r="A25" s="15" t="s">
        <v>716</v>
      </c>
      <c r="B25" s="16" t="s">
        <v>717</v>
      </c>
      <c r="C25" s="16" t="s">
        <v>689</v>
      </c>
      <c r="D25" s="16" t="s">
        <v>630</v>
      </c>
      <c r="E25" s="16"/>
      <c r="F25" s="18" t="s">
        <v>718</v>
      </c>
      <c r="G25" s="18"/>
      <c r="H25" s="15" t="s">
        <v>719</v>
      </c>
      <c r="I25" s="16" t="s">
        <v>720</v>
      </c>
    </row>
    <row r="26" customFormat="false" ht="15" hidden="false" customHeight="false" outlineLevel="0" collapsed="false">
      <c r="A26" s="11" t="s">
        <v>721</v>
      </c>
      <c r="B26" s="12" t="s">
        <v>722</v>
      </c>
      <c r="C26" s="12" t="s">
        <v>689</v>
      </c>
      <c r="D26" s="12" t="s">
        <v>621</v>
      </c>
      <c r="E26" s="12"/>
      <c r="F26" s="14" t="s">
        <v>723</v>
      </c>
      <c r="G26" s="14"/>
      <c r="H26" s="11" t="s">
        <v>161</v>
      </c>
      <c r="I26" s="12"/>
    </row>
    <row r="27" customFormat="false" ht="26.85" hidden="false" customHeight="false" outlineLevel="0" collapsed="false">
      <c r="A27" s="15" t="s">
        <v>724</v>
      </c>
      <c r="B27" s="16" t="s">
        <v>725</v>
      </c>
      <c r="C27" s="16" t="s">
        <v>689</v>
      </c>
      <c r="D27" s="16" t="s">
        <v>638</v>
      </c>
      <c r="E27" s="16"/>
      <c r="F27" s="18" t="s">
        <v>726</v>
      </c>
      <c r="G27" s="18"/>
      <c r="H27" s="15" t="s">
        <v>727</v>
      </c>
      <c r="I27" s="16" t="s">
        <v>728</v>
      </c>
    </row>
    <row r="28" customFormat="false" ht="15" hidden="false" customHeight="false" outlineLevel="0" collapsed="false">
      <c r="A28" s="11" t="s">
        <v>729</v>
      </c>
      <c r="B28" s="12" t="s">
        <v>730</v>
      </c>
      <c r="C28" s="12" t="s">
        <v>689</v>
      </c>
      <c r="D28" s="12" t="s">
        <v>638</v>
      </c>
      <c r="E28" s="12"/>
      <c r="F28" s="14" t="s">
        <v>731</v>
      </c>
      <c r="G28" s="14"/>
      <c r="H28" s="11" t="s">
        <v>732</v>
      </c>
      <c r="I28" s="12"/>
    </row>
    <row r="29" customFormat="false" ht="15" hidden="false" customHeight="false" outlineLevel="0" collapsed="false">
      <c r="A29" s="15" t="s">
        <v>733</v>
      </c>
      <c r="B29" s="16" t="s">
        <v>734</v>
      </c>
      <c r="C29" s="16" t="s">
        <v>689</v>
      </c>
      <c r="D29" s="16" t="s">
        <v>621</v>
      </c>
      <c r="E29" s="16"/>
      <c r="F29" s="18" t="s">
        <v>735</v>
      </c>
      <c r="G29" s="18"/>
      <c r="H29" s="15" t="s">
        <v>85</v>
      </c>
      <c r="I29" s="16"/>
    </row>
    <row r="30" customFormat="false" ht="15" hidden="false" customHeight="false" outlineLevel="0" collapsed="false">
      <c r="A30" s="11" t="s">
        <v>736</v>
      </c>
      <c r="B30" s="12" t="s">
        <v>737</v>
      </c>
      <c r="C30" s="12" t="s">
        <v>738</v>
      </c>
      <c r="D30" s="12" t="s">
        <v>621</v>
      </c>
      <c r="E30" s="12"/>
      <c r="F30" s="14" t="s">
        <v>739</v>
      </c>
      <c r="G30" s="14"/>
      <c r="H30" s="11" t="s">
        <v>349</v>
      </c>
      <c r="I30" s="12"/>
    </row>
    <row r="31" customFormat="false" ht="15" hidden="false" customHeight="false" outlineLevel="0" collapsed="false">
      <c r="A31" s="15" t="s">
        <v>740</v>
      </c>
      <c r="B31" s="16" t="s">
        <v>741</v>
      </c>
      <c r="C31" s="16" t="s">
        <v>738</v>
      </c>
      <c r="D31" s="16" t="s">
        <v>621</v>
      </c>
      <c r="E31" s="16"/>
      <c r="F31" s="18" t="s">
        <v>742</v>
      </c>
      <c r="G31" s="18"/>
      <c r="H31" s="15" t="s">
        <v>170</v>
      </c>
      <c r="I31" s="16"/>
    </row>
    <row r="32" customFormat="false" ht="15" hidden="false" customHeight="false" outlineLevel="0" collapsed="false">
      <c r="A32" s="11" t="s">
        <v>743</v>
      </c>
      <c r="B32" s="12" t="s">
        <v>744</v>
      </c>
      <c r="C32" s="12" t="s">
        <v>738</v>
      </c>
      <c r="D32" s="12" t="s">
        <v>621</v>
      </c>
      <c r="E32" s="12"/>
      <c r="F32" s="14" t="s">
        <v>745</v>
      </c>
      <c r="G32" s="14"/>
      <c r="H32" s="11" t="s">
        <v>746</v>
      </c>
      <c r="I32" s="12"/>
    </row>
    <row r="33" customFormat="false" ht="15" hidden="false" customHeight="false" outlineLevel="0" collapsed="false">
      <c r="A33" s="15" t="s">
        <v>747</v>
      </c>
      <c r="B33" s="16" t="s">
        <v>748</v>
      </c>
      <c r="C33" s="16" t="s">
        <v>738</v>
      </c>
      <c r="D33" s="16" t="s">
        <v>638</v>
      </c>
      <c r="E33" s="16"/>
      <c r="F33" s="18" t="s">
        <v>749</v>
      </c>
      <c r="G33" s="18"/>
      <c r="H33" s="15" t="s">
        <v>750</v>
      </c>
      <c r="I33" s="16" t="s">
        <v>751</v>
      </c>
    </row>
    <row r="34" customFormat="false" ht="26.85" hidden="false" customHeight="false" outlineLevel="0" collapsed="false">
      <c r="A34" s="11" t="s">
        <v>752</v>
      </c>
      <c r="B34" s="12" t="s">
        <v>753</v>
      </c>
      <c r="C34" s="12" t="s">
        <v>738</v>
      </c>
      <c r="D34" s="12" t="s">
        <v>630</v>
      </c>
      <c r="E34" s="12"/>
      <c r="F34" s="14" t="s">
        <v>754</v>
      </c>
      <c r="G34" s="14"/>
      <c r="H34" s="11" t="s">
        <v>755</v>
      </c>
      <c r="I34" s="12" t="s">
        <v>756</v>
      </c>
    </row>
    <row r="35" customFormat="false" ht="26.85" hidden="false" customHeight="false" outlineLevel="0" collapsed="false">
      <c r="A35" s="15" t="s">
        <v>757</v>
      </c>
      <c r="B35" s="16" t="s">
        <v>758</v>
      </c>
      <c r="C35" s="16" t="s">
        <v>738</v>
      </c>
      <c r="D35" s="16" t="s">
        <v>638</v>
      </c>
      <c r="E35" s="16"/>
      <c r="F35" s="18" t="s">
        <v>759</v>
      </c>
      <c r="G35" s="18"/>
      <c r="H35" s="15" t="s">
        <v>760</v>
      </c>
      <c r="I35" s="16"/>
    </row>
    <row r="36" customFormat="false" ht="15" hidden="false" customHeight="false" outlineLevel="0" collapsed="false">
      <c r="A36" s="11" t="s">
        <v>761</v>
      </c>
      <c r="B36" s="12" t="s">
        <v>762</v>
      </c>
      <c r="C36" s="12" t="s">
        <v>738</v>
      </c>
      <c r="D36" s="12" t="s">
        <v>638</v>
      </c>
      <c r="E36" s="12"/>
      <c r="F36" s="14" t="s">
        <v>763</v>
      </c>
      <c r="G36" s="14"/>
      <c r="H36" s="11" t="s">
        <v>764</v>
      </c>
      <c r="I36" s="12"/>
    </row>
    <row r="37" customFormat="false" ht="26.85" hidden="false" customHeight="false" outlineLevel="0" collapsed="false">
      <c r="A37" s="15" t="s">
        <v>765</v>
      </c>
      <c r="B37" s="16" t="s">
        <v>766</v>
      </c>
      <c r="C37" s="16" t="s">
        <v>738</v>
      </c>
      <c r="D37" s="16" t="s">
        <v>638</v>
      </c>
      <c r="E37" s="16"/>
      <c r="F37" s="18" t="s">
        <v>767</v>
      </c>
      <c r="G37" s="18"/>
      <c r="H37" s="15" t="s">
        <v>768</v>
      </c>
      <c r="I37" s="16" t="s">
        <v>769</v>
      </c>
    </row>
    <row r="38" customFormat="false" ht="15" hidden="false" customHeight="false" outlineLevel="0" collapsed="false">
      <c r="A38" s="11" t="s">
        <v>770</v>
      </c>
      <c r="B38" s="12" t="s">
        <v>771</v>
      </c>
      <c r="C38" s="12" t="s">
        <v>738</v>
      </c>
      <c r="D38" s="12" t="s">
        <v>638</v>
      </c>
      <c r="E38" s="12"/>
      <c r="F38" s="14" t="s">
        <v>772</v>
      </c>
      <c r="G38" s="14"/>
      <c r="H38" s="11" t="s">
        <v>773</v>
      </c>
      <c r="I38" s="12"/>
    </row>
    <row r="39" customFormat="false" ht="15" hidden="false" customHeight="false" outlineLevel="0" collapsed="false">
      <c r="A39" s="15" t="s">
        <v>774</v>
      </c>
      <c r="B39" s="16" t="s">
        <v>775</v>
      </c>
      <c r="C39" s="16" t="s">
        <v>738</v>
      </c>
      <c r="D39" s="16" t="s">
        <v>621</v>
      </c>
      <c r="E39" s="16" t="s">
        <v>68</v>
      </c>
      <c r="F39" s="18" t="s">
        <v>776</v>
      </c>
      <c r="G39" s="18" t="s">
        <v>777</v>
      </c>
      <c r="H39" s="15" t="s">
        <v>778</v>
      </c>
      <c r="I39" s="16"/>
    </row>
    <row r="40" customFormat="false" ht="15" hidden="false" customHeight="false" outlineLevel="0" collapsed="false">
      <c r="A40" s="11" t="s">
        <v>779</v>
      </c>
      <c r="B40" s="12" t="s">
        <v>780</v>
      </c>
      <c r="C40" s="12" t="s">
        <v>738</v>
      </c>
      <c r="D40" s="12" t="s">
        <v>621</v>
      </c>
      <c r="E40" s="12" t="s">
        <v>68</v>
      </c>
      <c r="F40" s="14" t="s">
        <v>781</v>
      </c>
      <c r="G40" s="14" t="s">
        <v>782</v>
      </c>
      <c r="H40" s="11" t="s">
        <v>783</v>
      </c>
      <c r="I40" s="12"/>
    </row>
    <row r="41" customFormat="false" ht="26.85" hidden="false" customHeight="false" outlineLevel="0" collapsed="false">
      <c r="A41" s="15" t="s">
        <v>784</v>
      </c>
      <c r="B41" s="16" t="s">
        <v>785</v>
      </c>
      <c r="C41" s="16" t="s">
        <v>738</v>
      </c>
      <c r="D41" s="16" t="s">
        <v>638</v>
      </c>
      <c r="E41" s="16" t="s">
        <v>68</v>
      </c>
      <c r="F41" s="18" t="s">
        <v>786</v>
      </c>
      <c r="G41" s="18" t="s">
        <v>787</v>
      </c>
      <c r="H41" s="15" t="s">
        <v>788</v>
      </c>
      <c r="I41" s="16" t="s">
        <v>789</v>
      </c>
    </row>
    <row r="42" customFormat="false" ht="26.85" hidden="false" customHeight="false" outlineLevel="0" collapsed="false">
      <c r="A42" s="11" t="s">
        <v>790</v>
      </c>
      <c r="B42" s="12" t="s">
        <v>791</v>
      </c>
      <c r="C42" s="12" t="s">
        <v>738</v>
      </c>
      <c r="D42" s="12" t="s">
        <v>621</v>
      </c>
      <c r="E42" s="12" t="s">
        <v>68</v>
      </c>
      <c r="F42" s="14" t="s">
        <v>792</v>
      </c>
      <c r="G42" s="14" t="s">
        <v>793</v>
      </c>
      <c r="H42" s="11" t="s">
        <v>794</v>
      </c>
      <c r="I42" s="12"/>
    </row>
  </sheetData>
  <autoFilter ref="A1:I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34"/>
    <col collapsed="false" customWidth="true" hidden="false" outlineLevel="0" max="9" min="9" style="0" width="60"/>
    <col collapsed="false" customWidth="true" hidden="false" outlineLevel="0" max="10" min="10" style="0" width="50"/>
  </cols>
  <sheetData>
    <row r="1" customFormat="false" ht="24" hidden="false" customHeight="true" outlineLevel="0" collapsed="false">
      <c r="A1" s="9" t="s">
        <v>37</v>
      </c>
      <c r="B1" s="10" t="s">
        <v>795</v>
      </c>
      <c r="C1" s="10" t="s">
        <v>796</v>
      </c>
      <c r="D1" s="10" t="s">
        <v>611</v>
      </c>
      <c r="E1" s="10" t="s">
        <v>396</v>
      </c>
      <c r="F1" s="10" t="s">
        <v>797</v>
      </c>
      <c r="G1" s="10" t="s">
        <v>447</v>
      </c>
      <c r="H1" s="10" t="s">
        <v>798</v>
      </c>
      <c r="I1" s="10" t="s">
        <v>799</v>
      </c>
      <c r="J1" s="10" t="s">
        <v>800</v>
      </c>
    </row>
    <row r="2" customFormat="false" ht="26.85" hidden="false" customHeight="false" outlineLevel="0" collapsed="false">
      <c r="A2" s="11" t="s">
        <v>801</v>
      </c>
      <c r="B2" s="12" t="s">
        <v>802</v>
      </c>
      <c r="C2" s="12" t="s">
        <v>803</v>
      </c>
      <c r="D2" s="12" t="s">
        <v>804</v>
      </c>
      <c r="E2" s="12" t="n">
        <v>10</v>
      </c>
      <c r="F2" s="12"/>
      <c r="G2" s="12"/>
      <c r="H2" s="14"/>
      <c r="I2" s="14" t="s">
        <v>805</v>
      </c>
      <c r="J2" s="19" t="s">
        <v>806</v>
      </c>
    </row>
    <row r="3" customFormat="false" ht="26.85" hidden="false" customHeight="false" outlineLevel="0" collapsed="false">
      <c r="A3" s="15" t="s">
        <v>807</v>
      </c>
      <c r="B3" s="16" t="s">
        <v>808</v>
      </c>
      <c r="C3" s="16" t="s">
        <v>803</v>
      </c>
      <c r="D3" s="16" t="s">
        <v>804</v>
      </c>
      <c r="E3" s="16" t="n">
        <v>8</v>
      </c>
      <c r="F3" s="16" t="s">
        <v>68</v>
      </c>
      <c r="G3" s="16"/>
      <c r="H3" s="20" t="s">
        <v>809</v>
      </c>
      <c r="I3" s="18" t="s">
        <v>810</v>
      </c>
      <c r="J3" s="20" t="s">
        <v>811</v>
      </c>
    </row>
    <row r="4" customFormat="false" ht="26.85" hidden="false" customHeight="false" outlineLevel="0" collapsed="false">
      <c r="A4" s="11" t="s">
        <v>812</v>
      </c>
      <c r="B4" s="12" t="s">
        <v>813</v>
      </c>
      <c r="C4" s="12" t="s">
        <v>803</v>
      </c>
      <c r="D4" s="12" t="s">
        <v>804</v>
      </c>
      <c r="E4" s="12" t="n">
        <v>6</v>
      </c>
      <c r="F4" s="12"/>
      <c r="G4" s="12"/>
      <c r="H4" s="19" t="s">
        <v>814</v>
      </c>
      <c r="I4" s="14" t="s">
        <v>815</v>
      </c>
      <c r="J4" s="19" t="s">
        <v>816</v>
      </c>
    </row>
    <row r="5" customFormat="false" ht="26.85" hidden="false" customHeight="false" outlineLevel="0" collapsed="false">
      <c r="A5" s="15" t="s">
        <v>817</v>
      </c>
      <c r="B5" s="16" t="s">
        <v>818</v>
      </c>
      <c r="C5" s="16" t="s">
        <v>803</v>
      </c>
      <c r="D5" s="16" t="s">
        <v>804</v>
      </c>
      <c r="E5" s="16" t="n">
        <v>7</v>
      </c>
      <c r="F5" s="16"/>
      <c r="G5" s="16"/>
      <c r="H5" s="20" t="s">
        <v>809</v>
      </c>
      <c r="I5" s="18" t="s">
        <v>819</v>
      </c>
      <c r="J5" s="20" t="s">
        <v>820</v>
      </c>
    </row>
    <row r="6" customFormat="false" ht="26.85" hidden="false" customHeight="false" outlineLevel="0" collapsed="false">
      <c r="A6" s="11" t="s">
        <v>821</v>
      </c>
      <c r="B6" s="12" t="s">
        <v>822</v>
      </c>
      <c r="C6" s="12" t="s">
        <v>803</v>
      </c>
      <c r="D6" s="12" t="s">
        <v>804</v>
      </c>
      <c r="E6" s="12" t="n">
        <v>8</v>
      </c>
      <c r="F6" s="12"/>
      <c r="G6" s="12"/>
      <c r="H6" s="14"/>
      <c r="I6" s="14" t="s">
        <v>823</v>
      </c>
      <c r="J6" s="19" t="s">
        <v>824</v>
      </c>
    </row>
    <row r="7" customFormat="false" ht="26.85" hidden="false" customHeight="false" outlineLevel="0" collapsed="false">
      <c r="A7" s="15" t="s">
        <v>825</v>
      </c>
      <c r="B7" s="16" t="s">
        <v>826</v>
      </c>
      <c r="C7" s="16" t="s">
        <v>803</v>
      </c>
      <c r="D7" s="16" t="s">
        <v>804</v>
      </c>
      <c r="E7" s="16" t="n">
        <v>5</v>
      </c>
      <c r="F7" s="16"/>
      <c r="G7" s="16"/>
      <c r="H7" s="20" t="s">
        <v>827</v>
      </c>
      <c r="I7" s="18" t="s">
        <v>828</v>
      </c>
      <c r="J7" s="20" t="s">
        <v>829</v>
      </c>
    </row>
    <row r="8" customFormat="false" ht="26.85" hidden="false" customHeight="false" outlineLevel="0" collapsed="false">
      <c r="A8" s="11" t="s">
        <v>830</v>
      </c>
      <c r="B8" s="12" t="s">
        <v>831</v>
      </c>
      <c r="C8" s="12" t="s">
        <v>803</v>
      </c>
      <c r="D8" s="12" t="s">
        <v>804</v>
      </c>
      <c r="E8" s="12" t="n">
        <v>6</v>
      </c>
      <c r="F8" s="12"/>
      <c r="G8" s="12"/>
      <c r="H8" s="14"/>
      <c r="I8" s="14" t="s">
        <v>832</v>
      </c>
      <c r="J8" s="19" t="s">
        <v>833</v>
      </c>
    </row>
    <row r="9" customFormat="false" ht="26.85" hidden="false" customHeight="false" outlineLevel="0" collapsed="false">
      <c r="A9" s="15" t="s">
        <v>834</v>
      </c>
      <c r="B9" s="16" t="s">
        <v>835</v>
      </c>
      <c r="C9" s="16" t="s">
        <v>803</v>
      </c>
      <c r="D9" s="16" t="s">
        <v>804</v>
      </c>
      <c r="E9" s="16" t="n">
        <v>6</v>
      </c>
      <c r="F9" s="16"/>
      <c r="G9" s="16"/>
      <c r="H9" s="18"/>
      <c r="I9" s="18" t="s">
        <v>836</v>
      </c>
      <c r="J9" s="20" t="s">
        <v>837</v>
      </c>
    </row>
    <row r="10" customFormat="false" ht="26.85" hidden="false" customHeight="false" outlineLevel="0" collapsed="false">
      <c r="A10" s="11" t="s">
        <v>838</v>
      </c>
      <c r="B10" s="12" t="s">
        <v>839</v>
      </c>
      <c r="C10" s="12" t="s">
        <v>803</v>
      </c>
      <c r="D10" s="12" t="s">
        <v>804</v>
      </c>
      <c r="E10" s="12" t="n">
        <v>5</v>
      </c>
      <c r="F10" s="12"/>
      <c r="G10" s="12"/>
      <c r="H10" s="14"/>
      <c r="I10" s="14" t="s">
        <v>840</v>
      </c>
      <c r="J10" s="19" t="s">
        <v>841</v>
      </c>
    </row>
    <row r="11" customFormat="false" ht="26.85" hidden="false" customHeight="false" outlineLevel="0" collapsed="false">
      <c r="A11" s="15" t="s">
        <v>842</v>
      </c>
      <c r="B11" s="16" t="s">
        <v>843</v>
      </c>
      <c r="C11" s="16" t="s">
        <v>803</v>
      </c>
      <c r="D11" s="16" t="s">
        <v>804</v>
      </c>
      <c r="E11" s="16" t="n">
        <v>4</v>
      </c>
      <c r="F11" s="16"/>
      <c r="G11" s="16"/>
      <c r="H11" s="20" t="s">
        <v>844</v>
      </c>
      <c r="I11" s="18" t="s">
        <v>845</v>
      </c>
      <c r="J11" s="20" t="s">
        <v>846</v>
      </c>
    </row>
    <row r="12" customFormat="false" ht="26.85" hidden="false" customHeight="false" outlineLevel="0" collapsed="false">
      <c r="A12" s="11" t="s">
        <v>847</v>
      </c>
      <c r="B12" s="12" t="s">
        <v>848</v>
      </c>
      <c r="C12" s="12" t="s">
        <v>803</v>
      </c>
      <c r="D12" s="12" t="s">
        <v>804</v>
      </c>
      <c r="E12" s="12" t="n">
        <v>4</v>
      </c>
      <c r="F12" s="12"/>
      <c r="G12" s="12"/>
      <c r="H12" s="19" t="s">
        <v>849</v>
      </c>
      <c r="I12" s="14" t="s">
        <v>850</v>
      </c>
      <c r="J12" s="19" t="s">
        <v>851</v>
      </c>
    </row>
    <row r="13" customFormat="false" ht="26.85" hidden="false" customHeight="false" outlineLevel="0" collapsed="false">
      <c r="A13" s="15" t="s">
        <v>852</v>
      </c>
      <c r="B13" s="16" t="s">
        <v>853</v>
      </c>
      <c r="C13" s="16" t="s">
        <v>803</v>
      </c>
      <c r="D13" s="16" t="s">
        <v>804</v>
      </c>
      <c r="E13" s="16" t="n">
        <v>5</v>
      </c>
      <c r="F13" s="16"/>
      <c r="G13" s="16"/>
      <c r="H13" s="18"/>
      <c r="I13" s="18" t="s">
        <v>854</v>
      </c>
      <c r="J13" s="20" t="s">
        <v>855</v>
      </c>
    </row>
    <row r="14" customFormat="false" ht="26.85" hidden="false" customHeight="false" outlineLevel="0" collapsed="false">
      <c r="A14" s="11" t="s">
        <v>856</v>
      </c>
      <c r="B14" s="12" t="s">
        <v>857</v>
      </c>
      <c r="C14" s="12" t="s">
        <v>803</v>
      </c>
      <c r="D14" s="12" t="s">
        <v>804</v>
      </c>
      <c r="E14" s="12" t="n">
        <v>5</v>
      </c>
      <c r="F14" s="12"/>
      <c r="G14" s="12"/>
      <c r="H14" s="19" t="s">
        <v>809</v>
      </c>
      <c r="I14" s="14" t="s">
        <v>858</v>
      </c>
      <c r="J14" s="19" t="s">
        <v>859</v>
      </c>
    </row>
    <row r="15" customFormat="false" ht="26.85" hidden="false" customHeight="false" outlineLevel="0" collapsed="false">
      <c r="A15" s="15" t="s">
        <v>860</v>
      </c>
      <c r="B15" s="16" t="s">
        <v>861</v>
      </c>
      <c r="C15" s="16" t="s">
        <v>803</v>
      </c>
      <c r="D15" s="16" t="s">
        <v>804</v>
      </c>
      <c r="E15" s="16" t="n">
        <v>5</v>
      </c>
      <c r="F15" s="16"/>
      <c r="G15" s="16"/>
      <c r="H15" s="18"/>
      <c r="I15" s="18" t="s">
        <v>862</v>
      </c>
      <c r="J15" s="20" t="s">
        <v>863</v>
      </c>
    </row>
    <row r="16" customFormat="false" ht="26.85" hidden="false" customHeight="false" outlineLevel="0" collapsed="false">
      <c r="A16" s="11" t="s">
        <v>864</v>
      </c>
      <c r="B16" s="12" t="s">
        <v>865</v>
      </c>
      <c r="C16" s="12" t="s">
        <v>803</v>
      </c>
      <c r="D16" s="12" t="s">
        <v>804</v>
      </c>
      <c r="E16" s="12" t="n">
        <v>6</v>
      </c>
      <c r="F16" s="12"/>
      <c r="G16" s="12"/>
      <c r="H16" s="14"/>
      <c r="I16" s="14" t="s">
        <v>866</v>
      </c>
      <c r="J16" s="19" t="s">
        <v>867</v>
      </c>
    </row>
    <row r="17" customFormat="false" ht="39.55" hidden="false" customHeight="false" outlineLevel="0" collapsed="false">
      <c r="A17" s="15" t="s">
        <v>868</v>
      </c>
      <c r="B17" s="16" t="s">
        <v>869</v>
      </c>
      <c r="C17" s="16" t="s">
        <v>870</v>
      </c>
      <c r="D17" s="16" t="s">
        <v>871</v>
      </c>
      <c r="E17" s="16" t="n">
        <v>3</v>
      </c>
      <c r="F17" s="16" t="s">
        <v>68</v>
      </c>
      <c r="G17" s="16" t="n">
        <v>12</v>
      </c>
      <c r="H17" s="20" t="s">
        <v>872</v>
      </c>
      <c r="I17" s="18" t="s">
        <v>873</v>
      </c>
      <c r="J17" s="20" t="s">
        <v>874</v>
      </c>
    </row>
    <row r="18" customFormat="false" ht="39.55" hidden="false" customHeight="false" outlineLevel="0" collapsed="false">
      <c r="A18" s="11" t="s">
        <v>875</v>
      </c>
      <c r="B18" s="12" t="s">
        <v>876</v>
      </c>
      <c r="C18" s="12" t="s">
        <v>870</v>
      </c>
      <c r="D18" s="12" t="s">
        <v>871</v>
      </c>
      <c r="E18" s="12" t="n">
        <v>3</v>
      </c>
      <c r="F18" s="12" t="s">
        <v>68</v>
      </c>
      <c r="G18" s="12" t="n">
        <v>24</v>
      </c>
      <c r="H18" s="19" t="s">
        <v>877</v>
      </c>
      <c r="I18" s="14" t="s">
        <v>878</v>
      </c>
      <c r="J18" s="19" t="s">
        <v>879</v>
      </c>
    </row>
    <row r="19" customFormat="false" ht="39.55" hidden="false" customHeight="false" outlineLevel="0" collapsed="false">
      <c r="A19" s="15" t="s">
        <v>880</v>
      </c>
      <c r="B19" s="16" t="s">
        <v>881</v>
      </c>
      <c r="C19" s="16" t="s">
        <v>870</v>
      </c>
      <c r="D19" s="16" t="s">
        <v>871</v>
      </c>
      <c r="E19" s="16" t="n">
        <v>6</v>
      </c>
      <c r="F19" s="16"/>
      <c r="G19" s="16" t="n">
        <v>24</v>
      </c>
      <c r="H19" s="18"/>
      <c r="I19" s="18" t="s">
        <v>882</v>
      </c>
      <c r="J19" s="20" t="s">
        <v>883</v>
      </c>
    </row>
    <row r="20" customFormat="false" ht="39.55" hidden="false" customHeight="false" outlineLevel="0" collapsed="false">
      <c r="A20" s="11" t="s">
        <v>884</v>
      </c>
      <c r="B20" s="12" t="s">
        <v>885</v>
      </c>
      <c r="C20" s="12" t="s">
        <v>870</v>
      </c>
      <c r="D20" s="12" t="s">
        <v>871</v>
      </c>
      <c r="E20" s="12" t="n">
        <v>6</v>
      </c>
      <c r="F20" s="12"/>
      <c r="G20" s="12" t="n">
        <v>24</v>
      </c>
      <c r="H20" s="14"/>
      <c r="I20" s="14" t="s">
        <v>886</v>
      </c>
      <c r="J20" s="19" t="s">
        <v>887</v>
      </c>
    </row>
    <row r="21" customFormat="false" ht="39.55" hidden="false" customHeight="false" outlineLevel="0" collapsed="false">
      <c r="A21" s="15" t="s">
        <v>888</v>
      </c>
      <c r="B21" s="16" t="s">
        <v>889</v>
      </c>
      <c r="C21" s="16" t="s">
        <v>870</v>
      </c>
      <c r="D21" s="16" t="s">
        <v>871</v>
      </c>
      <c r="E21" s="16" t="n">
        <v>6</v>
      </c>
      <c r="F21" s="16"/>
      <c r="G21" s="16" t="n">
        <v>24</v>
      </c>
      <c r="H21" s="20" t="s">
        <v>890</v>
      </c>
      <c r="I21" s="18" t="s">
        <v>891</v>
      </c>
      <c r="J21" s="20" t="s">
        <v>892</v>
      </c>
    </row>
    <row r="22" customFormat="false" ht="39.55" hidden="false" customHeight="false" outlineLevel="0" collapsed="false">
      <c r="A22" s="11" t="s">
        <v>893</v>
      </c>
      <c r="B22" s="12" t="s">
        <v>894</v>
      </c>
      <c r="C22" s="12" t="s">
        <v>870</v>
      </c>
      <c r="D22" s="12" t="s">
        <v>871</v>
      </c>
      <c r="E22" s="12" t="n">
        <v>3</v>
      </c>
      <c r="F22" s="12" t="s">
        <v>68</v>
      </c>
      <c r="G22" s="12" t="n">
        <v>24</v>
      </c>
      <c r="H22" s="19" t="s">
        <v>895</v>
      </c>
      <c r="I22" s="14" t="s">
        <v>896</v>
      </c>
      <c r="J22" s="19" t="s">
        <v>897</v>
      </c>
    </row>
    <row r="23" customFormat="false" ht="39.55" hidden="false" customHeight="false" outlineLevel="0" collapsed="false">
      <c r="A23" s="15" t="s">
        <v>898</v>
      </c>
      <c r="B23" s="16" t="s">
        <v>899</v>
      </c>
      <c r="C23" s="16" t="s">
        <v>870</v>
      </c>
      <c r="D23" s="16" t="s">
        <v>871</v>
      </c>
      <c r="E23" s="16" t="n">
        <v>6</v>
      </c>
      <c r="F23" s="16"/>
      <c r="G23" s="16" t="n">
        <v>24</v>
      </c>
      <c r="H23" s="20" t="s">
        <v>900</v>
      </c>
      <c r="I23" s="18" t="s">
        <v>901</v>
      </c>
      <c r="J23" s="20" t="s">
        <v>902</v>
      </c>
    </row>
    <row r="24" customFormat="false" ht="39.55" hidden="false" customHeight="false" outlineLevel="0" collapsed="false">
      <c r="A24" s="11" t="s">
        <v>903</v>
      </c>
      <c r="B24" s="12" t="s">
        <v>904</v>
      </c>
      <c r="C24" s="12" t="s">
        <v>870</v>
      </c>
      <c r="D24" s="12" t="s">
        <v>871</v>
      </c>
      <c r="E24" s="12" t="n">
        <v>6</v>
      </c>
      <c r="F24" s="12"/>
      <c r="G24" s="12" t="n">
        <v>36</v>
      </c>
      <c r="H24" s="19" t="s">
        <v>905</v>
      </c>
      <c r="I24" s="14" t="s">
        <v>906</v>
      </c>
      <c r="J24" s="19" t="s">
        <v>907</v>
      </c>
    </row>
    <row r="25" customFormat="false" ht="39.55" hidden="false" customHeight="false" outlineLevel="0" collapsed="false">
      <c r="A25" s="15" t="s">
        <v>908</v>
      </c>
      <c r="B25" s="16" t="s">
        <v>909</v>
      </c>
      <c r="C25" s="16" t="s">
        <v>870</v>
      </c>
      <c r="D25" s="16" t="s">
        <v>871</v>
      </c>
      <c r="E25" s="16" t="n">
        <v>3</v>
      </c>
      <c r="F25" s="16" t="s">
        <v>68</v>
      </c>
      <c r="G25" s="16" t="n">
        <v>36</v>
      </c>
      <c r="H25" s="20" t="s">
        <v>910</v>
      </c>
      <c r="I25" s="18" t="s">
        <v>911</v>
      </c>
      <c r="J25" s="20" t="s">
        <v>912</v>
      </c>
    </row>
    <row r="26" customFormat="false" ht="39.55" hidden="false" customHeight="false" outlineLevel="0" collapsed="false">
      <c r="A26" s="11" t="s">
        <v>913</v>
      </c>
      <c r="B26" s="12" t="s">
        <v>914</v>
      </c>
      <c r="C26" s="12" t="s">
        <v>870</v>
      </c>
      <c r="D26" s="12" t="s">
        <v>871</v>
      </c>
      <c r="E26" s="12" t="n">
        <v>6</v>
      </c>
      <c r="F26" s="12"/>
      <c r="G26" s="12" t="n">
        <v>16</v>
      </c>
      <c r="H26" s="19" t="s">
        <v>809</v>
      </c>
      <c r="I26" s="14" t="s">
        <v>915</v>
      </c>
      <c r="J26" s="19" t="s">
        <v>916</v>
      </c>
    </row>
    <row r="27" customFormat="false" ht="39.55" hidden="false" customHeight="false" outlineLevel="0" collapsed="false">
      <c r="A27" s="15" t="s">
        <v>917</v>
      </c>
      <c r="B27" s="16" t="s">
        <v>918</v>
      </c>
      <c r="C27" s="16" t="s">
        <v>870</v>
      </c>
      <c r="D27" s="16" t="s">
        <v>871</v>
      </c>
      <c r="E27" s="16" t="n">
        <v>6</v>
      </c>
      <c r="F27" s="16"/>
      <c r="G27" s="16" t="n">
        <v>24</v>
      </c>
      <c r="H27" s="18"/>
      <c r="I27" s="18" t="s">
        <v>919</v>
      </c>
      <c r="J27" s="20" t="s">
        <v>920</v>
      </c>
    </row>
    <row r="28" customFormat="false" ht="39.55" hidden="false" customHeight="false" outlineLevel="0" collapsed="false">
      <c r="A28" s="11" t="s">
        <v>921</v>
      </c>
      <c r="B28" s="12" t="s">
        <v>922</v>
      </c>
      <c r="C28" s="12" t="s">
        <v>870</v>
      </c>
      <c r="D28" s="12" t="s">
        <v>871</v>
      </c>
      <c r="E28" s="12" t="n">
        <v>6</v>
      </c>
      <c r="F28" s="12"/>
      <c r="G28" s="12" t="n">
        <v>24</v>
      </c>
      <c r="H28" s="19" t="s">
        <v>923</v>
      </c>
      <c r="I28" s="14" t="s">
        <v>924</v>
      </c>
      <c r="J28" s="19" t="s">
        <v>925</v>
      </c>
    </row>
    <row r="29" customFormat="false" ht="39.55" hidden="false" customHeight="false" outlineLevel="0" collapsed="false">
      <c r="A29" s="15" t="s">
        <v>926</v>
      </c>
      <c r="B29" s="16" t="s">
        <v>927</v>
      </c>
      <c r="C29" s="16" t="s">
        <v>870</v>
      </c>
      <c r="D29" s="16" t="s">
        <v>871</v>
      </c>
      <c r="E29" s="16" t="n">
        <v>3</v>
      </c>
      <c r="F29" s="16" t="s">
        <v>68</v>
      </c>
      <c r="G29" s="16" t="n">
        <v>24</v>
      </c>
      <c r="H29" s="18"/>
      <c r="I29" s="18" t="s">
        <v>928</v>
      </c>
      <c r="J29" s="20" t="s">
        <v>929</v>
      </c>
    </row>
    <row r="30" customFormat="false" ht="39.55" hidden="false" customHeight="false" outlineLevel="0" collapsed="false">
      <c r="A30" s="11" t="s">
        <v>930</v>
      </c>
      <c r="B30" s="12" t="s">
        <v>931</v>
      </c>
      <c r="C30" s="12" t="s">
        <v>870</v>
      </c>
      <c r="D30" s="12" t="s">
        <v>871</v>
      </c>
      <c r="E30" s="12" t="n">
        <v>6</v>
      </c>
      <c r="F30" s="12"/>
      <c r="G30" s="12" t="n">
        <v>24</v>
      </c>
      <c r="H30" s="19" t="s">
        <v>877</v>
      </c>
      <c r="I30" s="14" t="s">
        <v>932</v>
      </c>
      <c r="J30" s="19" t="s">
        <v>933</v>
      </c>
    </row>
    <row r="31" customFormat="false" ht="39.55" hidden="false" customHeight="false" outlineLevel="0" collapsed="false">
      <c r="A31" s="15" t="s">
        <v>934</v>
      </c>
      <c r="B31" s="16" t="s">
        <v>935</v>
      </c>
      <c r="C31" s="16" t="s">
        <v>870</v>
      </c>
      <c r="D31" s="16" t="s">
        <v>936</v>
      </c>
      <c r="E31" s="16" t="n">
        <v>3</v>
      </c>
      <c r="F31" s="16" t="s">
        <v>68</v>
      </c>
      <c r="G31" s="16" t="n">
        <v>12</v>
      </c>
      <c r="H31" s="18"/>
      <c r="I31" s="18" t="s">
        <v>937</v>
      </c>
      <c r="J31" s="20" t="s">
        <v>938</v>
      </c>
    </row>
    <row r="32" customFormat="false" ht="39.55" hidden="false" customHeight="false" outlineLevel="0" collapsed="false">
      <c r="A32" s="11" t="s">
        <v>939</v>
      </c>
      <c r="B32" s="12" t="s">
        <v>940</v>
      </c>
      <c r="C32" s="12" t="s">
        <v>870</v>
      </c>
      <c r="D32" s="12" t="s">
        <v>936</v>
      </c>
      <c r="E32" s="12" t="n">
        <v>3</v>
      </c>
      <c r="F32" s="12" t="s">
        <v>68</v>
      </c>
      <c r="G32" s="12" t="n">
        <v>12</v>
      </c>
      <c r="H32" s="14"/>
      <c r="I32" s="14" t="s">
        <v>941</v>
      </c>
      <c r="J32" s="19" t="s">
        <v>942</v>
      </c>
    </row>
    <row r="33" customFormat="false" ht="39.55" hidden="false" customHeight="false" outlineLevel="0" collapsed="false">
      <c r="A33" s="15" t="s">
        <v>943</v>
      </c>
      <c r="B33" s="16" t="s">
        <v>944</v>
      </c>
      <c r="C33" s="16" t="s">
        <v>870</v>
      </c>
      <c r="D33" s="16" t="s">
        <v>936</v>
      </c>
      <c r="E33" s="16" t="n">
        <v>3</v>
      </c>
      <c r="F33" s="16" t="s">
        <v>68</v>
      </c>
      <c r="G33" s="16" t="n">
        <v>8</v>
      </c>
      <c r="H33" s="18"/>
      <c r="I33" s="18" t="s">
        <v>945</v>
      </c>
      <c r="J33" s="20" t="s">
        <v>946</v>
      </c>
    </row>
    <row r="34" customFormat="false" ht="39.55" hidden="false" customHeight="false" outlineLevel="0" collapsed="false">
      <c r="A34" s="11" t="s">
        <v>947</v>
      </c>
      <c r="B34" s="12" t="s">
        <v>948</v>
      </c>
      <c r="C34" s="12" t="s">
        <v>870</v>
      </c>
      <c r="D34" s="12" t="s">
        <v>936</v>
      </c>
      <c r="E34" s="12" t="n">
        <v>6</v>
      </c>
      <c r="F34" s="12"/>
      <c r="G34" s="12" t="n">
        <v>12</v>
      </c>
      <c r="H34" s="14"/>
      <c r="I34" s="14" t="s">
        <v>949</v>
      </c>
      <c r="J34" s="19" t="s">
        <v>950</v>
      </c>
    </row>
    <row r="35" customFormat="false" ht="39.55" hidden="false" customHeight="false" outlineLevel="0" collapsed="false">
      <c r="A35" s="15" t="s">
        <v>951</v>
      </c>
      <c r="B35" s="16" t="s">
        <v>952</v>
      </c>
      <c r="C35" s="16" t="s">
        <v>870</v>
      </c>
      <c r="D35" s="16" t="s">
        <v>936</v>
      </c>
      <c r="E35" s="16" t="n">
        <v>6</v>
      </c>
      <c r="F35" s="16"/>
      <c r="G35" s="16" t="n">
        <v>8</v>
      </c>
      <c r="H35" s="18"/>
      <c r="I35" s="18" t="s">
        <v>953</v>
      </c>
      <c r="J35" s="20" t="s">
        <v>954</v>
      </c>
    </row>
    <row r="36" customFormat="false" ht="39.55" hidden="false" customHeight="false" outlineLevel="0" collapsed="false">
      <c r="A36" s="11" t="s">
        <v>955</v>
      </c>
      <c r="B36" s="12" t="s">
        <v>956</v>
      </c>
      <c r="C36" s="12" t="s">
        <v>870</v>
      </c>
      <c r="D36" s="12" t="s">
        <v>936</v>
      </c>
      <c r="E36" s="12" t="n">
        <v>6</v>
      </c>
      <c r="F36" s="12"/>
      <c r="G36" s="12" t="n">
        <v>12</v>
      </c>
      <c r="H36" s="19" t="s">
        <v>957</v>
      </c>
      <c r="I36" s="14" t="s">
        <v>958</v>
      </c>
      <c r="J36" s="19" t="s">
        <v>959</v>
      </c>
    </row>
    <row r="37" customFormat="false" ht="39.55" hidden="false" customHeight="false" outlineLevel="0" collapsed="false">
      <c r="A37" s="15" t="s">
        <v>960</v>
      </c>
      <c r="B37" s="16" t="s">
        <v>961</v>
      </c>
      <c r="C37" s="16" t="s">
        <v>870</v>
      </c>
      <c r="D37" s="16" t="s">
        <v>936</v>
      </c>
      <c r="E37" s="16" t="n">
        <v>6</v>
      </c>
      <c r="F37" s="16"/>
      <c r="G37" s="16" t="n">
        <v>12</v>
      </c>
      <c r="H37" s="20" t="s">
        <v>962</v>
      </c>
      <c r="I37" s="18" t="s">
        <v>963</v>
      </c>
      <c r="J37" s="20" t="s">
        <v>964</v>
      </c>
    </row>
    <row r="38" customFormat="false" ht="39.55" hidden="false" customHeight="false" outlineLevel="0" collapsed="false">
      <c r="A38" s="11" t="s">
        <v>965</v>
      </c>
      <c r="B38" s="11" t="s">
        <v>966</v>
      </c>
      <c r="C38" s="12" t="s">
        <v>870</v>
      </c>
      <c r="D38" s="12" t="s">
        <v>936</v>
      </c>
      <c r="E38" s="12" t="n">
        <v>6</v>
      </c>
      <c r="F38" s="12"/>
      <c r="G38" s="12" t="n">
        <v>16</v>
      </c>
      <c r="H38" s="14"/>
      <c r="I38" s="14" t="s">
        <v>967</v>
      </c>
      <c r="J38" s="19" t="s">
        <v>968</v>
      </c>
    </row>
    <row r="39" customFormat="false" ht="39.55" hidden="false" customHeight="false" outlineLevel="0" collapsed="false">
      <c r="A39" s="15" t="s">
        <v>969</v>
      </c>
      <c r="B39" s="16" t="s">
        <v>970</v>
      </c>
      <c r="C39" s="16" t="s">
        <v>870</v>
      </c>
      <c r="D39" s="16" t="s">
        <v>936</v>
      </c>
      <c r="E39" s="16" t="n">
        <v>6</v>
      </c>
      <c r="F39" s="16"/>
      <c r="G39" s="16" t="n">
        <v>16</v>
      </c>
      <c r="H39" s="20" t="s">
        <v>971</v>
      </c>
      <c r="I39" s="18" t="s">
        <v>972</v>
      </c>
      <c r="J39" s="20" t="s">
        <v>973</v>
      </c>
    </row>
    <row r="40" customFormat="false" ht="39.55" hidden="false" customHeight="false" outlineLevel="0" collapsed="false">
      <c r="A40" s="11" t="s">
        <v>974</v>
      </c>
      <c r="B40" s="12" t="s">
        <v>975</v>
      </c>
      <c r="C40" s="12" t="s">
        <v>870</v>
      </c>
      <c r="D40" s="12" t="s">
        <v>936</v>
      </c>
      <c r="E40" s="12" t="n">
        <v>6</v>
      </c>
      <c r="F40" s="12"/>
      <c r="G40" s="12" t="n">
        <v>12</v>
      </c>
      <c r="H40" s="19" t="s">
        <v>976</v>
      </c>
      <c r="I40" s="14" t="s">
        <v>977</v>
      </c>
      <c r="J40" s="19" t="s">
        <v>978</v>
      </c>
    </row>
    <row r="41" customFormat="false" ht="39.55" hidden="false" customHeight="false" outlineLevel="0" collapsed="false">
      <c r="A41" s="15" t="s">
        <v>979</v>
      </c>
      <c r="B41" s="16" t="s">
        <v>980</v>
      </c>
      <c r="C41" s="16" t="s">
        <v>870</v>
      </c>
      <c r="D41" s="16" t="s">
        <v>936</v>
      </c>
      <c r="E41" s="16" t="n">
        <v>6</v>
      </c>
      <c r="F41" s="16"/>
      <c r="G41" s="16" t="n">
        <v>16</v>
      </c>
      <c r="H41" s="20" t="s">
        <v>981</v>
      </c>
      <c r="I41" s="18" t="s">
        <v>982</v>
      </c>
      <c r="J41" s="20" t="s">
        <v>983</v>
      </c>
    </row>
    <row r="42" customFormat="false" ht="39.55" hidden="false" customHeight="false" outlineLevel="0" collapsed="false">
      <c r="A42" s="11" t="s">
        <v>984</v>
      </c>
      <c r="B42" s="12" t="s">
        <v>985</v>
      </c>
      <c r="C42" s="12" t="s">
        <v>870</v>
      </c>
      <c r="D42" s="12" t="s">
        <v>936</v>
      </c>
      <c r="E42" s="12" t="n">
        <v>6</v>
      </c>
      <c r="F42" s="12"/>
      <c r="G42" s="12" t="n">
        <v>24</v>
      </c>
      <c r="H42" s="14"/>
      <c r="I42" s="14" t="s">
        <v>986</v>
      </c>
      <c r="J42" s="19" t="s">
        <v>987</v>
      </c>
    </row>
    <row r="43" customFormat="false" ht="39.55" hidden="false" customHeight="false" outlineLevel="0" collapsed="false">
      <c r="A43" s="15" t="s">
        <v>988</v>
      </c>
      <c r="B43" s="16" t="s">
        <v>989</v>
      </c>
      <c r="C43" s="16" t="s">
        <v>870</v>
      </c>
      <c r="D43" s="16" t="s">
        <v>936</v>
      </c>
      <c r="E43" s="16" t="n">
        <v>3</v>
      </c>
      <c r="F43" s="16" t="s">
        <v>68</v>
      </c>
      <c r="G43" s="16" t="n">
        <v>24</v>
      </c>
      <c r="H43" s="20" t="s">
        <v>990</v>
      </c>
      <c r="I43" s="18" t="s">
        <v>991</v>
      </c>
      <c r="J43" s="20" t="s">
        <v>992</v>
      </c>
    </row>
    <row r="44" customFormat="false" ht="39.55" hidden="false" customHeight="false" outlineLevel="0" collapsed="false">
      <c r="A44" s="11" t="s">
        <v>993</v>
      </c>
      <c r="B44" s="12" t="s">
        <v>994</v>
      </c>
      <c r="C44" s="12" t="s">
        <v>870</v>
      </c>
      <c r="D44" s="12" t="s">
        <v>936</v>
      </c>
      <c r="E44" s="12" t="n">
        <v>6</v>
      </c>
      <c r="F44" s="12"/>
      <c r="G44" s="12" t="n">
        <v>40</v>
      </c>
      <c r="H44" s="19" t="s">
        <v>995</v>
      </c>
      <c r="I44" s="14" t="s">
        <v>996</v>
      </c>
      <c r="J44" s="19" t="s">
        <v>997</v>
      </c>
    </row>
    <row r="45" customFormat="false" ht="39.55" hidden="false" customHeight="false" outlineLevel="0" collapsed="false">
      <c r="A45" s="15" t="s">
        <v>998</v>
      </c>
      <c r="B45" s="16" t="s">
        <v>999</v>
      </c>
      <c r="C45" s="16" t="s">
        <v>870</v>
      </c>
      <c r="D45" s="16" t="s">
        <v>936</v>
      </c>
      <c r="E45" s="16" t="n">
        <v>6</v>
      </c>
      <c r="F45" s="16"/>
      <c r="G45" s="16" t="n">
        <v>12</v>
      </c>
      <c r="H45" s="20" t="s">
        <v>1000</v>
      </c>
      <c r="I45" s="18" t="s">
        <v>1001</v>
      </c>
      <c r="J45" s="20" t="s">
        <v>1002</v>
      </c>
    </row>
    <row r="46" customFormat="false" ht="39.55" hidden="false" customHeight="false" outlineLevel="0" collapsed="false">
      <c r="A46" s="11" t="s">
        <v>1003</v>
      </c>
      <c r="B46" s="12" t="s">
        <v>1004</v>
      </c>
      <c r="C46" s="12" t="s">
        <v>870</v>
      </c>
      <c r="D46" s="12" t="s">
        <v>936</v>
      </c>
      <c r="E46" s="12" t="n">
        <v>6</v>
      </c>
      <c r="F46" s="12"/>
      <c r="G46" s="12" t="n">
        <v>12</v>
      </c>
      <c r="H46" s="14"/>
      <c r="I46" s="14" t="s">
        <v>1005</v>
      </c>
      <c r="J46" s="19" t="s">
        <v>1006</v>
      </c>
    </row>
    <row r="47" customFormat="false" ht="39.55" hidden="false" customHeight="false" outlineLevel="0" collapsed="false">
      <c r="A47" s="15" t="s">
        <v>1007</v>
      </c>
      <c r="B47" s="16" t="s">
        <v>1008</v>
      </c>
      <c r="C47" s="16" t="s">
        <v>1009</v>
      </c>
      <c r="D47" s="16" t="s">
        <v>1010</v>
      </c>
      <c r="E47" s="16" t="n">
        <v>6</v>
      </c>
      <c r="F47" s="16"/>
      <c r="G47" s="16" t="n">
        <v>24</v>
      </c>
      <c r="H47" s="20" t="s">
        <v>1011</v>
      </c>
      <c r="I47" s="18" t="s">
        <v>1012</v>
      </c>
      <c r="J47" s="20" t="s">
        <v>1013</v>
      </c>
    </row>
    <row r="48" customFormat="false" ht="39.55" hidden="false" customHeight="false" outlineLevel="0" collapsed="false">
      <c r="A48" s="11" t="s">
        <v>1014</v>
      </c>
      <c r="B48" s="12" t="s">
        <v>1015</v>
      </c>
      <c r="C48" s="12" t="s">
        <v>1009</v>
      </c>
      <c r="D48" s="12" t="s">
        <v>1010</v>
      </c>
      <c r="E48" s="12" t="n">
        <v>6</v>
      </c>
      <c r="F48" s="12"/>
      <c r="G48" s="12" t="n">
        <v>52</v>
      </c>
      <c r="H48" s="19" t="s">
        <v>1016</v>
      </c>
      <c r="I48" s="14" t="s">
        <v>1017</v>
      </c>
      <c r="J48" s="19" t="s">
        <v>1018</v>
      </c>
    </row>
    <row r="49" customFormat="false" ht="39.55" hidden="false" customHeight="false" outlineLevel="0" collapsed="false">
      <c r="A49" s="15" t="s">
        <v>1019</v>
      </c>
      <c r="B49" s="16" t="s">
        <v>1020</v>
      </c>
      <c r="C49" s="16" t="s">
        <v>1009</v>
      </c>
      <c r="D49" s="16" t="s">
        <v>1010</v>
      </c>
      <c r="E49" s="16" t="n">
        <v>6</v>
      </c>
      <c r="F49" s="16"/>
      <c r="G49" s="16" t="n">
        <v>24</v>
      </c>
      <c r="H49" s="20" t="s">
        <v>1021</v>
      </c>
      <c r="I49" s="18" t="s">
        <v>1022</v>
      </c>
      <c r="J49" s="20" t="s">
        <v>1023</v>
      </c>
    </row>
    <row r="50" customFormat="false" ht="39.55" hidden="false" customHeight="false" outlineLevel="0" collapsed="false">
      <c r="A50" s="11" t="s">
        <v>1024</v>
      </c>
      <c r="B50" s="12" t="s">
        <v>1025</v>
      </c>
      <c r="C50" s="12" t="s">
        <v>1009</v>
      </c>
      <c r="D50" s="12" t="s">
        <v>1010</v>
      </c>
      <c r="E50" s="12" t="n">
        <v>6</v>
      </c>
      <c r="F50" s="12"/>
      <c r="G50" s="12" t="n">
        <v>24</v>
      </c>
      <c r="H50" s="19" t="s">
        <v>1026</v>
      </c>
      <c r="I50" s="14" t="s">
        <v>1027</v>
      </c>
      <c r="J50" s="19" t="s">
        <v>1028</v>
      </c>
    </row>
    <row r="51" customFormat="false" ht="39.55" hidden="false" customHeight="false" outlineLevel="0" collapsed="false">
      <c r="A51" s="15" t="s">
        <v>1029</v>
      </c>
      <c r="B51" s="16" t="s">
        <v>1030</v>
      </c>
      <c r="C51" s="16" t="s">
        <v>1009</v>
      </c>
      <c r="D51" s="16" t="s">
        <v>1010</v>
      </c>
      <c r="E51" s="16" t="n">
        <v>6</v>
      </c>
      <c r="F51" s="16"/>
      <c r="G51" s="16" t="n">
        <v>12</v>
      </c>
      <c r="H51" s="18"/>
      <c r="I51" s="18" t="s">
        <v>1031</v>
      </c>
      <c r="J51" s="20" t="s">
        <v>1032</v>
      </c>
    </row>
    <row r="52" customFormat="false" ht="39.55" hidden="false" customHeight="false" outlineLevel="0" collapsed="false">
      <c r="A52" s="11" t="s">
        <v>1033</v>
      </c>
      <c r="B52" s="12" t="s">
        <v>1034</v>
      </c>
      <c r="C52" s="12" t="s">
        <v>1009</v>
      </c>
      <c r="D52" s="12" t="s">
        <v>1010</v>
      </c>
      <c r="E52" s="12" t="n">
        <v>3</v>
      </c>
      <c r="F52" s="12" t="s">
        <v>68</v>
      </c>
      <c r="G52" s="12" t="n">
        <v>24</v>
      </c>
      <c r="H52" s="19" t="s">
        <v>1035</v>
      </c>
      <c r="I52" s="14" t="s">
        <v>1036</v>
      </c>
      <c r="J52" s="19" t="s">
        <v>1037</v>
      </c>
    </row>
    <row r="53" customFormat="false" ht="39.55" hidden="false" customHeight="false" outlineLevel="0" collapsed="false">
      <c r="A53" s="15" t="s">
        <v>1038</v>
      </c>
      <c r="B53" s="16" t="s">
        <v>1039</v>
      </c>
      <c r="C53" s="16" t="s">
        <v>1009</v>
      </c>
      <c r="D53" s="16" t="s">
        <v>1010</v>
      </c>
      <c r="E53" s="16" t="n">
        <v>6</v>
      </c>
      <c r="F53" s="16"/>
      <c r="G53" s="16" t="n">
        <v>44</v>
      </c>
      <c r="H53" s="20" t="s">
        <v>1040</v>
      </c>
      <c r="I53" s="18" t="s">
        <v>1041</v>
      </c>
      <c r="J53" s="20" t="s">
        <v>1042</v>
      </c>
    </row>
    <row r="54" customFormat="false" ht="39.55" hidden="false" customHeight="false" outlineLevel="0" collapsed="false">
      <c r="A54" s="11" t="s">
        <v>1043</v>
      </c>
      <c r="B54" s="12" t="s">
        <v>1044</v>
      </c>
      <c r="C54" s="12" t="s">
        <v>1009</v>
      </c>
      <c r="D54" s="12" t="s">
        <v>1010</v>
      </c>
      <c r="E54" s="12" t="n">
        <v>6</v>
      </c>
      <c r="F54" s="12"/>
      <c r="G54" s="12" t="n">
        <v>24</v>
      </c>
      <c r="H54" s="14"/>
      <c r="I54" s="14" t="s">
        <v>1045</v>
      </c>
      <c r="J54" s="19" t="s">
        <v>1046</v>
      </c>
    </row>
    <row r="55" customFormat="false" ht="39.55" hidden="false" customHeight="false" outlineLevel="0" collapsed="false">
      <c r="A55" s="15" t="s">
        <v>1047</v>
      </c>
      <c r="B55" s="16" t="s">
        <v>1048</v>
      </c>
      <c r="C55" s="16" t="s">
        <v>1009</v>
      </c>
      <c r="D55" s="16" t="s">
        <v>1010</v>
      </c>
      <c r="E55" s="16" t="n">
        <v>3</v>
      </c>
      <c r="F55" s="16" t="s">
        <v>68</v>
      </c>
      <c r="G55" s="16" t="n">
        <v>52</v>
      </c>
      <c r="H55" s="20" t="s">
        <v>809</v>
      </c>
      <c r="I55" s="18" t="s">
        <v>1049</v>
      </c>
      <c r="J55" s="20" t="s">
        <v>1050</v>
      </c>
    </row>
    <row r="56" customFormat="false" ht="39.55" hidden="false" customHeight="false" outlineLevel="0" collapsed="false">
      <c r="A56" s="11" t="s">
        <v>1051</v>
      </c>
      <c r="B56" s="12" t="s">
        <v>1052</v>
      </c>
      <c r="C56" s="12" t="s">
        <v>1009</v>
      </c>
      <c r="D56" s="12" t="s">
        <v>1010</v>
      </c>
      <c r="E56" s="12" t="n">
        <v>3</v>
      </c>
      <c r="F56" s="12" t="s">
        <v>68</v>
      </c>
      <c r="G56" s="12" t="n">
        <v>24</v>
      </c>
      <c r="H56" s="19" t="s">
        <v>809</v>
      </c>
      <c r="I56" s="14" t="s">
        <v>1053</v>
      </c>
      <c r="J56" s="19" t="s">
        <v>1054</v>
      </c>
    </row>
    <row r="57" customFormat="false" ht="39.55" hidden="false" customHeight="false" outlineLevel="0" collapsed="false">
      <c r="A57" s="15" t="s">
        <v>1055</v>
      </c>
      <c r="B57" s="16" t="s">
        <v>1056</v>
      </c>
      <c r="C57" s="16" t="s">
        <v>1009</v>
      </c>
      <c r="D57" s="16" t="s">
        <v>1010</v>
      </c>
      <c r="E57" s="16" t="n">
        <v>3</v>
      </c>
      <c r="F57" s="16" t="s">
        <v>68</v>
      </c>
      <c r="G57" s="16" t="n">
        <v>52</v>
      </c>
      <c r="H57" s="20" t="s">
        <v>1057</v>
      </c>
      <c r="I57" s="18" t="s">
        <v>1058</v>
      </c>
      <c r="J57" s="20" t="s">
        <v>1059</v>
      </c>
    </row>
    <row r="58" customFormat="false" ht="39.55" hidden="false" customHeight="false" outlineLevel="0" collapsed="false">
      <c r="A58" s="11" t="s">
        <v>1060</v>
      </c>
      <c r="B58" s="12" t="s">
        <v>1061</v>
      </c>
      <c r="C58" s="12" t="s">
        <v>1009</v>
      </c>
      <c r="D58" s="12" t="s">
        <v>1010</v>
      </c>
      <c r="E58" s="12" t="n">
        <v>6</v>
      </c>
      <c r="F58" s="12"/>
      <c r="G58" s="12" t="n">
        <v>12</v>
      </c>
      <c r="H58" s="14"/>
      <c r="I58" s="14" t="s">
        <v>1062</v>
      </c>
      <c r="J58" s="19" t="s">
        <v>1063</v>
      </c>
    </row>
    <row r="59" customFormat="false" ht="39.55" hidden="false" customHeight="false" outlineLevel="0" collapsed="false">
      <c r="A59" s="15" t="s">
        <v>1064</v>
      </c>
      <c r="B59" s="16" t="s">
        <v>1065</v>
      </c>
      <c r="C59" s="16" t="s">
        <v>1009</v>
      </c>
      <c r="D59" s="16" t="s">
        <v>1010</v>
      </c>
      <c r="E59" s="16" t="n">
        <v>6</v>
      </c>
      <c r="F59" s="16"/>
      <c r="G59" s="16" t="n">
        <v>24</v>
      </c>
      <c r="H59" s="20" t="s">
        <v>1066</v>
      </c>
      <c r="I59" s="18" t="s">
        <v>1067</v>
      </c>
      <c r="J59" s="20" t="s">
        <v>1068</v>
      </c>
    </row>
    <row r="60" customFormat="false" ht="39.55" hidden="false" customHeight="false" outlineLevel="0" collapsed="false">
      <c r="A60" s="11" t="s">
        <v>1069</v>
      </c>
      <c r="B60" s="12" t="s">
        <v>1070</v>
      </c>
      <c r="C60" s="12" t="s">
        <v>1009</v>
      </c>
      <c r="D60" s="12" t="s">
        <v>1010</v>
      </c>
      <c r="E60" s="12" t="n">
        <v>6</v>
      </c>
      <c r="F60" s="12"/>
      <c r="G60" s="12" t="n">
        <v>24</v>
      </c>
      <c r="H60" s="19" t="s">
        <v>844</v>
      </c>
      <c r="I60" s="14" t="s">
        <v>1071</v>
      </c>
      <c r="J60" s="19" t="s">
        <v>1072</v>
      </c>
    </row>
    <row r="61" customFormat="false" ht="39.55" hidden="false" customHeight="false" outlineLevel="0" collapsed="false">
      <c r="A61" s="15" t="s">
        <v>1073</v>
      </c>
      <c r="B61" s="16" t="s">
        <v>1074</v>
      </c>
      <c r="C61" s="16" t="s">
        <v>1009</v>
      </c>
      <c r="D61" s="16" t="s">
        <v>1010</v>
      </c>
      <c r="E61" s="16" t="n">
        <v>6</v>
      </c>
      <c r="F61" s="16"/>
      <c r="G61" s="16" t="n">
        <v>24</v>
      </c>
      <c r="H61" s="20" t="s">
        <v>844</v>
      </c>
      <c r="I61" s="18" t="s">
        <v>1075</v>
      </c>
      <c r="J61" s="20" t="s">
        <v>1076</v>
      </c>
    </row>
    <row r="62" customFormat="false" ht="39.55" hidden="false" customHeight="false" outlineLevel="0" collapsed="false">
      <c r="A62" s="11" t="s">
        <v>1077</v>
      </c>
      <c r="B62" s="12" t="s">
        <v>1078</v>
      </c>
      <c r="C62" s="12" t="s">
        <v>1009</v>
      </c>
      <c r="D62" s="12" t="s">
        <v>1010</v>
      </c>
      <c r="E62" s="12" t="n">
        <v>6</v>
      </c>
      <c r="F62" s="12"/>
      <c r="G62" s="12" t="n">
        <v>24</v>
      </c>
      <c r="H62" s="19" t="s">
        <v>809</v>
      </c>
      <c r="I62" s="14" t="s">
        <v>1079</v>
      </c>
      <c r="J62" s="19" t="s">
        <v>1080</v>
      </c>
    </row>
    <row r="63" customFormat="false" ht="39.55" hidden="false" customHeight="false" outlineLevel="0" collapsed="false">
      <c r="A63" s="15" t="s">
        <v>1081</v>
      </c>
      <c r="B63" s="16" t="s">
        <v>1082</v>
      </c>
      <c r="C63" s="16" t="s">
        <v>1009</v>
      </c>
      <c r="D63" s="16" t="s">
        <v>1083</v>
      </c>
      <c r="E63" s="16" t="n">
        <v>10</v>
      </c>
      <c r="F63" s="16"/>
      <c r="G63" s="16" t="n">
        <v>44</v>
      </c>
      <c r="H63" s="20" t="s">
        <v>1084</v>
      </c>
      <c r="I63" s="18" t="s">
        <v>1085</v>
      </c>
      <c r="J63" s="20" t="s">
        <v>1086</v>
      </c>
    </row>
    <row r="64" customFormat="false" ht="39.55" hidden="false" customHeight="false" outlineLevel="0" collapsed="false">
      <c r="A64" s="11" t="s">
        <v>1087</v>
      </c>
      <c r="B64" s="12" t="s">
        <v>1088</v>
      </c>
      <c r="C64" s="12" t="s">
        <v>1009</v>
      </c>
      <c r="D64" s="12" t="s">
        <v>1083</v>
      </c>
      <c r="E64" s="12" t="n">
        <v>10</v>
      </c>
      <c r="F64" s="12"/>
      <c r="G64" s="12" t="n">
        <v>44</v>
      </c>
      <c r="H64" s="19" t="s">
        <v>1084</v>
      </c>
      <c r="I64" s="14" t="s">
        <v>1089</v>
      </c>
      <c r="J64" s="19" t="s">
        <v>1090</v>
      </c>
    </row>
    <row r="65" customFormat="false" ht="39.55" hidden="false" customHeight="false" outlineLevel="0" collapsed="false">
      <c r="A65" s="15" t="s">
        <v>1091</v>
      </c>
      <c r="B65" s="16" t="s">
        <v>1092</v>
      </c>
      <c r="C65" s="16" t="s">
        <v>1009</v>
      </c>
      <c r="D65" s="16" t="s">
        <v>1083</v>
      </c>
      <c r="E65" s="16" t="n">
        <v>10</v>
      </c>
      <c r="F65" s="16"/>
      <c r="G65" s="16" t="n">
        <v>44</v>
      </c>
      <c r="H65" s="20" t="s">
        <v>1093</v>
      </c>
      <c r="I65" s="18" t="s">
        <v>1094</v>
      </c>
      <c r="J65" s="20" t="s">
        <v>1095</v>
      </c>
    </row>
    <row r="66" customFormat="false" ht="39.55" hidden="false" customHeight="false" outlineLevel="0" collapsed="false">
      <c r="A66" s="11" t="s">
        <v>1096</v>
      </c>
      <c r="B66" s="12" t="s">
        <v>1097</v>
      </c>
      <c r="C66" s="12" t="s">
        <v>1009</v>
      </c>
      <c r="D66" s="12" t="s">
        <v>1083</v>
      </c>
      <c r="E66" s="12" t="n">
        <v>10</v>
      </c>
      <c r="F66" s="12"/>
      <c r="G66" s="12" t="n">
        <v>44</v>
      </c>
      <c r="H66" s="19" t="s">
        <v>1098</v>
      </c>
      <c r="I66" s="14" t="s">
        <v>1099</v>
      </c>
      <c r="J66" s="19" t="s">
        <v>1100</v>
      </c>
    </row>
    <row r="67" customFormat="false" ht="39.55" hidden="false" customHeight="false" outlineLevel="0" collapsed="false">
      <c r="A67" s="15" t="s">
        <v>1101</v>
      </c>
      <c r="B67" s="16" t="s">
        <v>1102</v>
      </c>
      <c r="C67" s="16" t="s">
        <v>1009</v>
      </c>
      <c r="D67" s="16" t="s">
        <v>1083</v>
      </c>
      <c r="E67" s="16" t="n">
        <v>10</v>
      </c>
      <c r="F67" s="16"/>
      <c r="G67" s="16" t="n">
        <v>44</v>
      </c>
      <c r="H67" s="20" t="s">
        <v>1103</v>
      </c>
      <c r="I67" s="18" t="s">
        <v>1104</v>
      </c>
      <c r="J67" s="20" t="s">
        <v>1105</v>
      </c>
    </row>
    <row r="68" customFormat="false" ht="39.55" hidden="false" customHeight="false" outlineLevel="0" collapsed="false">
      <c r="A68" s="11" t="s">
        <v>1106</v>
      </c>
      <c r="B68" s="12" t="s">
        <v>1107</v>
      </c>
      <c r="C68" s="12" t="s">
        <v>1009</v>
      </c>
      <c r="D68" s="12" t="s">
        <v>1083</v>
      </c>
      <c r="E68" s="12" t="n">
        <v>10</v>
      </c>
      <c r="F68" s="12"/>
      <c r="G68" s="12" t="n">
        <v>44</v>
      </c>
      <c r="H68" s="19" t="s">
        <v>1103</v>
      </c>
      <c r="I68" s="14" t="s">
        <v>1108</v>
      </c>
      <c r="J68" s="19" t="s">
        <v>1109</v>
      </c>
    </row>
    <row r="69" customFormat="false" ht="39.55" hidden="false" customHeight="false" outlineLevel="0" collapsed="false">
      <c r="A69" s="15" t="s">
        <v>1110</v>
      </c>
      <c r="B69" s="16" t="s">
        <v>1111</v>
      </c>
      <c r="C69" s="16" t="s">
        <v>1009</v>
      </c>
      <c r="D69" s="16" t="s">
        <v>1083</v>
      </c>
      <c r="E69" s="16" t="n">
        <v>10</v>
      </c>
      <c r="F69" s="16"/>
      <c r="G69" s="16" t="n">
        <v>44</v>
      </c>
      <c r="H69" s="20" t="s">
        <v>1112</v>
      </c>
      <c r="I69" s="18" t="s">
        <v>1113</v>
      </c>
      <c r="J69" s="20" t="s">
        <v>1114</v>
      </c>
    </row>
    <row r="70" customFormat="false" ht="39.55" hidden="false" customHeight="false" outlineLevel="0" collapsed="false">
      <c r="A70" s="11" t="s">
        <v>1115</v>
      </c>
      <c r="B70" s="12" t="s">
        <v>1116</v>
      </c>
      <c r="C70" s="12" t="s">
        <v>1009</v>
      </c>
      <c r="D70" s="12" t="s">
        <v>1083</v>
      </c>
      <c r="E70" s="12" t="n">
        <v>10</v>
      </c>
      <c r="F70" s="12"/>
      <c r="G70" s="12" t="n">
        <v>44</v>
      </c>
      <c r="H70" s="19" t="s">
        <v>1117</v>
      </c>
      <c r="I70" s="14" t="s">
        <v>1118</v>
      </c>
      <c r="J70" s="19" t="s">
        <v>1119</v>
      </c>
    </row>
    <row r="71" customFormat="false" ht="39.55" hidden="false" customHeight="false" outlineLevel="0" collapsed="false">
      <c r="A71" s="15" t="s">
        <v>1120</v>
      </c>
      <c r="B71" s="16" t="s">
        <v>1121</v>
      </c>
      <c r="C71" s="16" t="s">
        <v>1009</v>
      </c>
      <c r="D71" s="16" t="s">
        <v>1083</v>
      </c>
      <c r="E71" s="16" t="n">
        <v>10</v>
      </c>
      <c r="F71" s="16"/>
      <c r="G71" s="16" t="n">
        <v>44</v>
      </c>
      <c r="H71" s="20" t="s">
        <v>1122</v>
      </c>
      <c r="I71" s="18" t="s">
        <v>1123</v>
      </c>
      <c r="J71" s="20" t="s">
        <v>1124</v>
      </c>
    </row>
    <row r="72" customFormat="false" ht="39.55" hidden="false" customHeight="false" outlineLevel="0" collapsed="false">
      <c r="A72" s="11" t="s">
        <v>1125</v>
      </c>
      <c r="B72" s="12" t="s">
        <v>1126</v>
      </c>
      <c r="C72" s="12" t="s">
        <v>1009</v>
      </c>
      <c r="D72" s="12" t="s">
        <v>1083</v>
      </c>
      <c r="E72" s="12" t="n">
        <v>10</v>
      </c>
      <c r="F72" s="12"/>
      <c r="G72" s="12" t="n">
        <v>44</v>
      </c>
      <c r="H72" s="19" t="s">
        <v>1127</v>
      </c>
      <c r="I72" s="14" t="s">
        <v>1128</v>
      </c>
      <c r="J72" s="19" t="s">
        <v>1129</v>
      </c>
    </row>
    <row r="73" customFormat="false" ht="39.55" hidden="false" customHeight="false" outlineLevel="0" collapsed="false">
      <c r="A73" s="15" t="s">
        <v>1130</v>
      </c>
      <c r="B73" s="16" t="s">
        <v>1131</v>
      </c>
      <c r="C73" s="16" t="s">
        <v>1009</v>
      </c>
      <c r="D73" s="16" t="s">
        <v>1083</v>
      </c>
      <c r="E73" s="16" t="n">
        <v>10</v>
      </c>
      <c r="F73" s="16"/>
      <c r="G73" s="16" t="n">
        <v>44</v>
      </c>
      <c r="H73" s="20" t="s">
        <v>1132</v>
      </c>
      <c r="I73" s="18" t="s">
        <v>1133</v>
      </c>
      <c r="J73" s="20" t="s">
        <v>1134</v>
      </c>
    </row>
    <row r="74" customFormat="false" ht="39.55" hidden="false" customHeight="false" outlineLevel="0" collapsed="false">
      <c r="A74" s="11" t="s">
        <v>1135</v>
      </c>
      <c r="B74" s="12" t="s">
        <v>1136</v>
      </c>
      <c r="C74" s="12" t="s">
        <v>1009</v>
      </c>
      <c r="D74" s="12" t="s">
        <v>1083</v>
      </c>
      <c r="E74" s="12" t="n">
        <v>10</v>
      </c>
      <c r="F74" s="12"/>
      <c r="G74" s="12" t="n">
        <v>44</v>
      </c>
      <c r="H74" s="19" t="s">
        <v>1040</v>
      </c>
      <c r="I74" s="14" t="s">
        <v>1137</v>
      </c>
      <c r="J74" s="19" t="s">
        <v>1138</v>
      </c>
    </row>
  </sheetData>
  <autoFilter ref="A1:J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50"/>
  </cols>
  <sheetData>
    <row r="1" customFormat="false" ht="24" hidden="false" customHeight="true" outlineLevel="0" collapsed="false">
      <c r="A1" s="9" t="s">
        <v>37</v>
      </c>
      <c r="B1" s="10" t="s">
        <v>795</v>
      </c>
      <c r="C1" s="10" t="s">
        <v>1139</v>
      </c>
      <c r="D1" s="10" t="s">
        <v>799</v>
      </c>
      <c r="E1" s="10" t="s">
        <v>800</v>
      </c>
    </row>
    <row r="2" customFormat="false" ht="26.85" hidden="false" customHeight="false" outlineLevel="0" collapsed="false">
      <c r="A2" s="11" t="s">
        <v>1140</v>
      </c>
      <c r="B2" s="14" t="s">
        <v>1141</v>
      </c>
      <c r="C2" s="11" t="s">
        <v>1142</v>
      </c>
      <c r="D2" s="14" t="s">
        <v>1143</v>
      </c>
      <c r="E2" s="19" t="s">
        <v>1144</v>
      </c>
    </row>
    <row r="3" customFormat="false" ht="26.85" hidden="false" customHeight="false" outlineLevel="0" collapsed="false">
      <c r="A3" s="15" t="s">
        <v>1145</v>
      </c>
      <c r="B3" s="18" t="s">
        <v>1146</v>
      </c>
      <c r="C3" s="15" t="s">
        <v>1142</v>
      </c>
      <c r="D3" s="18" t="s">
        <v>1147</v>
      </c>
      <c r="E3" s="20" t="s">
        <v>1148</v>
      </c>
    </row>
    <row r="4" customFormat="false" ht="26.85" hidden="false" customHeight="false" outlineLevel="0" collapsed="false">
      <c r="A4" s="11" t="s">
        <v>1149</v>
      </c>
      <c r="B4" s="14" t="s">
        <v>1150</v>
      </c>
      <c r="C4" s="11" t="s">
        <v>1142</v>
      </c>
      <c r="D4" s="14" t="s">
        <v>1151</v>
      </c>
      <c r="E4" s="19" t="s">
        <v>1152</v>
      </c>
    </row>
    <row r="5" customFormat="false" ht="26.85" hidden="false" customHeight="false" outlineLevel="0" collapsed="false">
      <c r="A5" s="15" t="s">
        <v>1153</v>
      </c>
      <c r="B5" s="18" t="s">
        <v>1154</v>
      </c>
      <c r="C5" s="15" t="s">
        <v>1155</v>
      </c>
      <c r="D5" s="18" t="s">
        <v>1156</v>
      </c>
      <c r="E5" s="20" t="s">
        <v>1157</v>
      </c>
    </row>
    <row r="6" customFormat="false" ht="26.85" hidden="false" customHeight="false" outlineLevel="0" collapsed="false">
      <c r="A6" s="11" t="s">
        <v>1158</v>
      </c>
      <c r="B6" s="14" t="s">
        <v>1159</v>
      </c>
      <c r="C6" s="11" t="s">
        <v>1155</v>
      </c>
      <c r="D6" s="14" t="s">
        <v>1160</v>
      </c>
      <c r="E6" s="19" t="s">
        <v>1161</v>
      </c>
    </row>
    <row r="7" customFormat="false" ht="26.85" hidden="false" customHeight="false" outlineLevel="0" collapsed="false">
      <c r="A7" s="15" t="s">
        <v>1162</v>
      </c>
      <c r="B7" s="18" t="s">
        <v>1163</v>
      </c>
      <c r="C7" s="15" t="s">
        <v>1164</v>
      </c>
      <c r="D7" s="18" t="s">
        <v>1165</v>
      </c>
      <c r="E7" s="20" t="s">
        <v>1166</v>
      </c>
    </row>
    <row r="8" customFormat="false" ht="26.85" hidden="false" customHeight="false" outlineLevel="0" collapsed="false">
      <c r="A8" s="11" t="s">
        <v>1167</v>
      </c>
      <c r="B8" s="14" t="s">
        <v>1168</v>
      </c>
      <c r="C8" s="11" t="s">
        <v>1164</v>
      </c>
      <c r="D8" s="14" t="s">
        <v>1169</v>
      </c>
      <c r="E8" s="19" t="s">
        <v>1170</v>
      </c>
    </row>
    <row r="9" customFormat="false" ht="26.85" hidden="false" customHeight="false" outlineLevel="0" collapsed="false">
      <c r="A9" s="15" t="s">
        <v>1171</v>
      </c>
      <c r="B9" s="18" t="s">
        <v>1172</v>
      </c>
      <c r="C9" s="15" t="s">
        <v>1164</v>
      </c>
      <c r="D9" s="18" t="s">
        <v>1173</v>
      </c>
      <c r="E9" s="20" t="s">
        <v>1174</v>
      </c>
    </row>
    <row r="10" customFormat="false" ht="26.85" hidden="false" customHeight="false" outlineLevel="0" collapsed="false">
      <c r="A10" s="11" t="s">
        <v>1175</v>
      </c>
      <c r="B10" s="14" t="s">
        <v>1176</v>
      </c>
      <c r="C10" s="11" t="s">
        <v>1177</v>
      </c>
      <c r="D10" s="14" t="s">
        <v>1178</v>
      </c>
      <c r="E10" s="19" t="s">
        <v>1179</v>
      </c>
    </row>
    <row r="11" customFormat="false" ht="39.55" hidden="false" customHeight="false" outlineLevel="0" collapsed="false">
      <c r="A11" s="15" t="s">
        <v>1180</v>
      </c>
      <c r="B11" s="18" t="s">
        <v>1181</v>
      </c>
      <c r="C11" s="15" t="s">
        <v>1177</v>
      </c>
      <c r="D11" s="18" t="s">
        <v>1182</v>
      </c>
      <c r="E11" s="20" t="s">
        <v>1183</v>
      </c>
    </row>
    <row r="12" customFormat="false" ht="26.85" hidden="false" customHeight="false" outlineLevel="0" collapsed="false">
      <c r="A12" s="11" t="s">
        <v>1184</v>
      </c>
      <c r="B12" s="14" t="s">
        <v>1185</v>
      </c>
      <c r="C12" s="11" t="s">
        <v>1177</v>
      </c>
      <c r="D12" s="14" t="s">
        <v>1186</v>
      </c>
      <c r="E12" s="19" t="s">
        <v>1187</v>
      </c>
    </row>
    <row r="13" customFormat="false" ht="26.85" hidden="false" customHeight="false" outlineLevel="0" collapsed="false">
      <c r="A13" s="15" t="s">
        <v>1188</v>
      </c>
      <c r="B13" s="18" t="s">
        <v>1189</v>
      </c>
      <c r="C13" s="15" t="s">
        <v>1177</v>
      </c>
      <c r="D13" s="18" t="s">
        <v>1190</v>
      </c>
      <c r="E13" s="20" t="s">
        <v>1191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2026-10-21T03:00:22Z</dcterms:created>
  <dc:creator>openpyxl</dc:creator>
  <dc:description/>
  <dc:language>en-US</dc:language>
  <cp:lastModifiedBy/>
  <dcterms:modified xsi:type="dcterms:W3CDTF">2026-10-21T03:00:22Z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